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Intel_Log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Looku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BF8F00"/>
      <sz val="20"/>
    </font>
    <font>
      <name val="Calibri"/>
      <i val="1"/>
      <color rgb="00808080"/>
      <sz val="11"/>
    </font>
    <font>
      <name val="Calibri"/>
      <b val="1"/>
      <color rgb="00002060"/>
      <sz val="12"/>
    </font>
    <font>
      <name val="Calibri"/>
      <b val="1"/>
      <sz val="10"/>
    </font>
    <font>
      <name val="Calibri"/>
      <sz val="10"/>
    </font>
    <font>
      <name val="Calibri"/>
      <color rgb="00808080"/>
      <sz val="9"/>
    </font>
    <font>
      <name val="Calibri"/>
      <b val="1"/>
      <color rgb="00FFFFFF"/>
      <sz val="10"/>
    </font>
    <font>
      <name val="Calibri"/>
      <b val="1"/>
      <color rgb="001F3864"/>
      <sz val="16"/>
    </font>
    <font>
      <name val="Calibri"/>
      <b val="1"/>
      <color rgb="001F3864"/>
      <sz val="2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8" fillId="0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7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D0E0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Intelligence by Source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'Dashboard'!$B$9:$B$18</f>
            </numRef>
          </cat>
          <val>
            <numRef>
              <f>'Dashboard'!$C$9:$C$18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Intel by Priority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'Dashboard'!$B$22:$B$25</f>
            </numRef>
          </cat>
          <val>
            <numRef>
              <f>'Dashboard'!$C$22:$C$25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Intelligence Trend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'Dashboard'!$C$29:$C$40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20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27</row>
      <rowOff>0</rowOff>
    </from>
    <ext cx="7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IntelLog" displayName="tbl_IntelLog" ref="A1:W31" headerRowCount="1">
  <autoFilter ref="A1:W31"/>
  <tableColumns count="23">
    <tableColumn id="1" name="IntelID"/>
    <tableColumn id="2" name="DateReceived"/>
    <tableColumn id="3" name="TimeReceived"/>
    <tableColumn id="4" name="Source"/>
    <tableColumn id="5" name="SourceRef"/>
    <tableColumn id="6" name="Priority"/>
    <tableColumn id="7" name="SubjectMatter"/>
    <tableColumn id="8" name="FirearmsRelated"/>
    <tableColumn id="9" name="NarcoticsRelated"/>
    <tableColumn id="10" name="TraffickingRelated"/>
    <tableColumn id="11" name="TargetPerson"/>
    <tableColumn id="12" name="TargetLocation"/>
    <tableColumn id="13" name="Parish"/>
    <tableColumn id="14" name="SubstanceOfIntel"/>
    <tableColumn id="15" name="TriageDecision"/>
    <tableColumn id="16" name="TriageBy"/>
    <tableColumn id="17" name="TriageDate"/>
    <tableColumn id="18" name="LinkedOpID"/>
    <tableColumn id="19" name="LinkedCaseID"/>
    <tableColumn id="20" name="Outcome"/>
    <tableColumn id="21" name="OutcomeNotes"/>
    <tableColumn id="22" name="CreatedBy"/>
    <tableColumn id="23" name="Created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BF8F00"/>
    <outlinePr summaryBelow="1" summaryRight="1"/>
    <pageSetUpPr/>
  </sheetPr>
  <dimension ref="B2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40" customWidth="1" min="3" max="3"/>
  </cols>
  <sheetData>
    <row r="2">
      <c r="B2" s="1" t="inlineStr">
        <is>
          <t>FNID AREA 3 - INTEL UNIT PORTAL</t>
        </is>
      </c>
    </row>
    <row r="3">
      <c r="B3" s="2" t="inlineStr">
        <is>
          <t>Jamaica Constabulary Force | Manchester | St. Elizabeth | Clarendon</t>
        </is>
      </c>
    </row>
    <row r="5">
      <c r="B5" s="3" t="inlineStr">
        <is>
          <t>PORTAL NAVIGATION</t>
        </is>
      </c>
    </row>
    <row r="6">
      <c r="B6" s="4" t="inlineStr">
        <is>
          <t xml:space="preserve">  Intel_Log</t>
        </is>
      </c>
      <c r="C6" s="5" t="inlineStr">
        <is>
          <t>Intelligence pipeline - data entry &amp; tracking</t>
        </is>
      </c>
    </row>
    <row r="7">
      <c r="B7" s="4" t="inlineStr">
        <is>
          <t xml:space="preserve">  Dashboard</t>
        </is>
      </c>
      <c r="C7" s="5" t="inlineStr">
        <is>
          <t>KPI summary cards and visual charts</t>
        </is>
      </c>
    </row>
    <row r="8">
      <c r="B8" s="4" t="inlineStr">
        <is>
          <t xml:space="preserve">  Lookups</t>
        </is>
      </c>
      <c r="C8" s="5" t="inlineStr">
        <is>
          <t>Dropdown reference data</t>
        </is>
      </c>
    </row>
    <row r="10">
      <c r="B10" s="3" t="inlineStr">
        <is>
          <t>SUBMISSION WORKFLOW</t>
        </is>
      </c>
    </row>
    <row r="11">
      <c r="B11" s="5" t="inlineStr">
        <is>
          <t>1. Enter data in the data entry sheet(s)</t>
        </is>
      </c>
    </row>
    <row r="12">
      <c r="B12" s="5" t="inlineStr">
        <is>
          <t>2. Set RecordStatus to 'Draft' while working</t>
        </is>
      </c>
    </row>
    <row r="13">
      <c r="B13" s="5" t="inlineStr">
        <is>
          <t>3. Fill SubmittedBy with your name/badge when ready</t>
        </is>
      </c>
    </row>
    <row r="14">
      <c r="B14" s="5" t="inlineStr">
        <is>
          <t>4. Change RecordStatus to 'Submitted' to finalize</t>
        </is>
      </c>
    </row>
    <row r="15">
      <c r="B15" s="5" t="inlineStr">
        <is>
          <t>5. To edit a submitted record, change status to 'Edited'</t>
        </is>
      </c>
    </row>
    <row r="16">
      <c r="B16" s="5" t="inlineStr">
        <is>
          <t>6. Use the Dashboard sheet to view KPIs and charts</t>
        </is>
      </c>
    </row>
    <row r="18">
      <c r="B18" s="6" t="inlineStr">
        <is>
          <t>Generated: 2026-02-27 06:20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F8F00"/>
    <outlinePr summaryBelow="1" summaryRight="1"/>
    <pageSetUpPr/>
  </sheetPr>
  <dimension ref="A1:A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8" customWidth="1" min="4" max="4"/>
    <col width="14" customWidth="1" min="5" max="5"/>
    <col width="10" customWidth="1" min="6" max="6"/>
    <col width="25" customWidth="1" min="7" max="7"/>
    <col width="10" customWidth="1" min="8" max="8"/>
    <col width="10" customWidth="1" min="9" max="9"/>
    <col width="10" customWidth="1" min="10" max="10"/>
    <col width="18" customWidth="1" min="11" max="11"/>
    <col width="22" customWidth="1" min="12" max="12"/>
    <col width="14" customWidth="1" min="13" max="13"/>
    <col width="30" customWidth="1" min="14" max="14"/>
    <col width="22" customWidth="1" min="15" max="15"/>
    <col width="16" customWidth="1" min="16" max="16"/>
    <col width="12" customWidth="1" min="17" max="17"/>
    <col width="14" customWidth="1" min="18" max="18"/>
    <col width="14" customWidth="1" min="19" max="19"/>
    <col width="22" customWidth="1" min="20" max="20"/>
    <col width="25" customWidth="1" min="21" max="21"/>
    <col width="14" customWidth="1" min="22" max="22"/>
    <col width="12" customWidth="1" min="23" max="23"/>
    <col width="14" customWidth="1" min="24" max="24"/>
    <col width="16" customWidth="1" min="25" max="25"/>
    <col width="14" customWidth="1" min="26" max="26"/>
    <col width="16" customWidth="1" min="27" max="27"/>
    <col width="14" customWidth="1" min="28" max="28"/>
  </cols>
  <sheetData>
    <row r="1">
      <c r="A1" s="7" t="inlineStr">
        <is>
          <t>IntelID</t>
        </is>
      </c>
      <c r="B1" s="7" t="inlineStr">
        <is>
          <t>DateReceived</t>
        </is>
      </c>
      <c r="C1" s="7" t="inlineStr">
        <is>
          <t>TimeReceived</t>
        </is>
      </c>
      <c r="D1" s="7" t="inlineStr">
        <is>
          <t>Source</t>
        </is>
      </c>
      <c r="E1" s="7" t="inlineStr">
        <is>
          <t>SourceRef</t>
        </is>
      </c>
      <c r="F1" s="7" t="inlineStr">
        <is>
          <t>Priority</t>
        </is>
      </c>
      <c r="G1" s="7" t="inlineStr">
        <is>
          <t>SubjectMatter</t>
        </is>
      </c>
      <c r="H1" s="7" t="inlineStr">
        <is>
          <t>FirearmsRelated</t>
        </is>
      </c>
      <c r="I1" s="7" t="inlineStr">
        <is>
          <t>NarcoticsRelated</t>
        </is>
      </c>
      <c r="J1" s="7" t="inlineStr">
        <is>
          <t>TraffickingRelated</t>
        </is>
      </c>
      <c r="K1" s="7" t="inlineStr">
        <is>
          <t>TargetPerson</t>
        </is>
      </c>
      <c r="L1" s="7" t="inlineStr">
        <is>
          <t>TargetLocation</t>
        </is>
      </c>
      <c r="M1" s="7" t="inlineStr">
        <is>
          <t>Parish</t>
        </is>
      </c>
      <c r="N1" s="7" t="inlineStr">
        <is>
          <t>SubstanceOfIntel</t>
        </is>
      </c>
      <c r="O1" s="7" t="inlineStr">
        <is>
          <t>TriageDecision</t>
        </is>
      </c>
      <c r="P1" s="7" t="inlineStr">
        <is>
          <t>TriageBy</t>
        </is>
      </c>
      <c r="Q1" s="7" t="inlineStr">
        <is>
          <t>TriageDate</t>
        </is>
      </c>
      <c r="R1" s="7" t="inlineStr">
        <is>
          <t>LinkedOpID</t>
        </is>
      </c>
      <c r="S1" s="7" t="inlineStr">
        <is>
          <t>LinkedCaseID</t>
        </is>
      </c>
      <c r="T1" s="7" t="inlineStr">
        <is>
          <t>Outcome</t>
        </is>
      </c>
      <c r="U1" s="7" t="inlineStr">
        <is>
          <t>OutcomeNotes</t>
        </is>
      </c>
      <c r="V1" s="7" t="inlineStr">
        <is>
          <t>CreatedBy</t>
        </is>
      </c>
      <c r="W1" s="7" t="inlineStr">
        <is>
          <t>CreatedDate</t>
        </is>
      </c>
      <c r="X1" s="7" t="inlineStr">
        <is>
          <t>RecordStatus</t>
        </is>
      </c>
      <c r="Y1" s="7" t="inlineStr">
        <is>
          <t>SubmittedBy</t>
        </is>
      </c>
      <c r="Z1" s="7" t="inlineStr">
        <is>
          <t>SubmittedDate</t>
        </is>
      </c>
      <c r="AA1" s="7" t="inlineStr">
        <is>
          <t>LastEditedBy</t>
        </is>
      </c>
      <c r="AB1" s="7" t="inlineStr">
        <is>
          <t>LastEditedDate</t>
        </is>
      </c>
    </row>
    <row r="2">
      <c r="A2" s="8" t="inlineStr">
        <is>
          <t>INT-2025-001</t>
        </is>
      </c>
      <c r="B2" s="8" t="inlineStr">
        <is>
          <t>2025-01-15</t>
        </is>
      </c>
      <c r="C2" s="8" t="inlineStr">
        <is>
          <t>08:30</t>
        </is>
      </c>
      <c r="D2" s="8" t="inlineStr">
        <is>
          <t>Crime Stop (311)</t>
        </is>
      </c>
      <c r="E2" s="8" t="inlineStr">
        <is>
          <t>CS-4421</t>
        </is>
      </c>
      <c r="F2" s="8" t="inlineStr">
        <is>
          <t>High</t>
        </is>
      </c>
      <c r="G2" s="8" t="inlineStr">
        <is>
          <t>Firearm cache reported at abandoned property</t>
        </is>
      </c>
      <c r="H2" s="8" t="inlineStr">
        <is>
          <t>Yes</t>
        </is>
      </c>
      <c r="I2" s="8" t="inlineStr">
        <is>
          <t>No</t>
        </is>
      </c>
      <c r="J2" s="8" t="inlineStr">
        <is>
          <t>No</t>
        </is>
      </c>
      <c r="K2" s="8" t="inlineStr">
        <is>
          <t>Unknown</t>
        </is>
      </c>
      <c r="L2" s="8" t="inlineStr">
        <is>
          <t>Lot 14 Green Ave, Mandeville</t>
        </is>
      </c>
      <c r="M2" s="8" t="inlineStr">
        <is>
          <t>Manchester</t>
        </is>
      </c>
      <c r="N2" s="8" t="inlineStr">
        <is>
          <t>Caller reports seeing men burying items in back lot at night</t>
        </is>
      </c>
      <c r="O2" s="8" t="inlineStr">
        <is>
          <t>Action - Mount Operation</t>
        </is>
      </c>
      <c r="P2" s="8" t="inlineStr">
        <is>
          <t>Insp. Brown</t>
        </is>
      </c>
      <c r="Q2" s="8" t="inlineStr">
        <is>
          <t>2025-01-15</t>
        </is>
      </c>
      <c r="R2" s="8" t="inlineStr">
        <is>
          <t>OP-2025-001</t>
        </is>
      </c>
      <c r="S2" s="8" t="inlineStr">
        <is>
          <t>CR-2025-001</t>
        </is>
      </c>
      <c r="T2" s="8" t="inlineStr">
        <is>
          <t>Successful - Seizure + Arrest</t>
        </is>
      </c>
      <c r="U2" s="8" t="inlineStr">
        <is>
          <t>2 firearms recovered</t>
        </is>
      </c>
      <c r="V2" s="8" t="inlineStr">
        <is>
          <t>DC Williams</t>
        </is>
      </c>
      <c r="W2" s="8" t="inlineStr">
        <is>
          <t>2025-01-15</t>
        </is>
      </c>
      <c r="X2" s="5" t="inlineStr">
        <is>
          <t>Submitted</t>
        </is>
      </c>
      <c r="Y2" s="5" t="inlineStr">
        <is>
          <t>System</t>
        </is>
      </c>
      <c r="Z2" s="5" t="inlineStr">
        <is>
          <t>2025-04-01</t>
        </is>
      </c>
    </row>
    <row r="3">
      <c r="A3" s="8" t="inlineStr">
        <is>
          <t>INT-2025-002</t>
        </is>
      </c>
      <c r="B3" s="8" t="inlineStr">
        <is>
          <t>2025-01-22</t>
        </is>
      </c>
      <c r="C3" s="8" t="inlineStr">
        <is>
          <t>14:15</t>
        </is>
      </c>
      <c r="D3" s="8" t="inlineStr">
        <is>
          <t>Informant</t>
        </is>
      </c>
      <c r="E3" s="8" t="inlineStr">
        <is>
          <t>INF-009</t>
        </is>
      </c>
      <c r="F3" s="8" t="inlineStr">
        <is>
          <t>Critical</t>
        </is>
      </c>
      <c r="G3" s="8" t="inlineStr">
        <is>
          <t>Cocaine shipment via fishing vessel</t>
        </is>
      </c>
      <c r="H3" s="8" t="inlineStr">
        <is>
          <t>No</t>
        </is>
      </c>
      <c r="I3" s="8" t="inlineStr">
        <is>
          <t>Yes</t>
        </is>
      </c>
      <c r="J3" s="8" t="inlineStr">
        <is>
          <t>Yes</t>
        </is>
      </c>
      <c r="K3" s="8" t="inlineStr">
        <is>
          <t>Marcus COLE</t>
        </is>
      </c>
      <c r="L3" s="8" t="inlineStr">
        <is>
          <t>Black River Bay</t>
        </is>
      </c>
      <c r="M3" s="8" t="inlineStr">
        <is>
          <t>St. Elizabeth</t>
        </is>
      </c>
      <c r="N3" s="8" t="inlineStr">
        <is>
          <t>50kg cocaine expected landfall Friday night</t>
        </is>
      </c>
      <c r="O3" s="8" t="inlineStr">
        <is>
          <t>Action - Mount Operation</t>
        </is>
      </c>
      <c r="P3" s="8" t="inlineStr">
        <is>
          <t>Supt. Davis</t>
        </is>
      </c>
      <c r="Q3" s="8" t="inlineStr">
        <is>
          <t>2025-01-22</t>
        </is>
      </c>
      <c r="R3" s="8" t="inlineStr">
        <is>
          <t>OP-2025-002</t>
        </is>
      </c>
      <c r="S3" s="8" t="inlineStr">
        <is>
          <t>CR-2025-002</t>
        </is>
      </c>
      <c r="T3" s="8" t="inlineStr">
        <is>
          <t>Successful - Seizure Only</t>
        </is>
      </c>
      <c r="U3" s="8" t="inlineStr">
        <is>
          <t>32kg cocaine seized</t>
        </is>
      </c>
      <c r="V3" s="8" t="inlineStr">
        <is>
          <t>DC Thompson</t>
        </is>
      </c>
      <c r="W3" s="8" t="inlineStr">
        <is>
          <t>2025-01-22</t>
        </is>
      </c>
      <c r="X3" s="5" t="inlineStr">
        <is>
          <t>Submitted</t>
        </is>
      </c>
      <c r="Y3" s="5" t="inlineStr">
        <is>
          <t>System</t>
        </is>
      </c>
      <c r="Z3" s="5" t="inlineStr">
        <is>
          <t>2025-04-01</t>
        </is>
      </c>
    </row>
    <row r="4">
      <c r="A4" s="8" t="inlineStr">
        <is>
          <t>INT-2025-003</t>
        </is>
      </c>
      <c r="B4" s="8" t="inlineStr">
        <is>
          <t>2025-02-03</t>
        </is>
      </c>
      <c r="C4" s="8" t="inlineStr">
        <is>
          <t>10:00</t>
        </is>
      </c>
      <c r="D4" s="8" t="inlineStr">
        <is>
          <t>DEA</t>
        </is>
      </c>
      <c r="E4" s="8" t="inlineStr">
        <is>
          <t>DEA-JM-0087</t>
        </is>
      </c>
      <c r="F4" s="8" t="inlineStr">
        <is>
          <t>High</t>
        </is>
      </c>
      <c r="G4" s="8" t="inlineStr">
        <is>
          <t>Trafficking network moving guns from Florida</t>
        </is>
      </c>
      <c r="H4" s="8" t="inlineStr">
        <is>
          <t>Yes</t>
        </is>
      </c>
      <c r="I4" s="8" t="inlineStr">
        <is>
          <t>No</t>
        </is>
      </c>
      <c r="J4" s="8" t="inlineStr">
        <is>
          <t>Yes</t>
        </is>
      </c>
      <c r="K4" s="8" t="inlineStr">
        <is>
          <t>Ryan SMITH</t>
        </is>
      </c>
      <c r="L4" s="8" t="inlineStr">
        <is>
          <t>May Pen area</t>
        </is>
      </c>
      <c r="M4" s="8" t="inlineStr">
        <is>
          <t>Clarendon</t>
        </is>
      </c>
      <c r="N4" s="8" t="inlineStr">
        <is>
          <t>DEA identifies shipping container with concealed weapons</t>
        </is>
      </c>
      <c r="O4" s="8" t="inlineStr">
        <is>
          <t>Action - Port Alert</t>
        </is>
      </c>
      <c r="P4" s="8" t="inlineStr">
        <is>
          <t>Insp. Brown</t>
        </is>
      </c>
      <c r="Q4" s="8" t="inlineStr">
        <is>
          <t>2025-02-03</t>
        </is>
      </c>
      <c r="R4" s="8" t="inlineStr">
        <is>
          <t>OP-2025-003</t>
        </is>
      </c>
      <c r="S4" s="8" t="inlineStr"/>
      <c r="T4" s="8" t="inlineStr">
        <is>
          <t>Ongoing</t>
        </is>
      </c>
      <c r="U4" s="8" t="inlineStr">
        <is>
          <t>Container identified, surveillance active</t>
        </is>
      </c>
      <c r="V4" s="8" t="inlineStr">
        <is>
          <t>DC Williams</t>
        </is>
      </c>
      <c r="W4" s="8" t="inlineStr">
        <is>
          <t>2025-02-03</t>
        </is>
      </c>
      <c r="X4" s="5" t="inlineStr">
        <is>
          <t>Submitted</t>
        </is>
      </c>
      <c r="Y4" s="5" t="inlineStr">
        <is>
          <t>System</t>
        </is>
      </c>
      <c r="Z4" s="5" t="inlineStr">
        <is>
          <t>2025-04-01</t>
        </is>
      </c>
    </row>
    <row r="5">
      <c r="A5" s="8" t="inlineStr">
        <is>
          <t>INT-2025-004</t>
        </is>
      </c>
      <c r="B5" s="8" t="inlineStr">
        <is>
          <t>2025-02-10</t>
        </is>
      </c>
      <c r="C5" s="8" t="inlineStr">
        <is>
          <t>09:45</t>
        </is>
      </c>
      <c r="D5" s="8" t="inlineStr">
        <is>
          <t>Divisional CIB</t>
        </is>
      </c>
      <c r="E5" s="8" t="inlineStr">
        <is>
          <t>CIB-MC-112</t>
        </is>
      </c>
      <c r="F5" s="8" t="inlineStr">
        <is>
          <t>Medium</t>
        </is>
      </c>
      <c r="G5" s="8" t="inlineStr">
        <is>
          <t>Ganja cultivation site in hills</t>
        </is>
      </c>
      <c r="H5" s="8" t="inlineStr">
        <is>
          <t>No</t>
        </is>
      </c>
      <c r="I5" s="8" t="inlineStr">
        <is>
          <t>Yes</t>
        </is>
      </c>
      <c r="J5" s="8" t="inlineStr">
        <is>
          <t>No</t>
        </is>
      </c>
      <c r="K5" s="8" t="inlineStr">
        <is>
          <t>Unknown</t>
        </is>
      </c>
      <c r="L5" s="8" t="inlineStr">
        <is>
          <t>Newport, Manchester</t>
        </is>
      </c>
      <c r="M5" s="8" t="inlineStr">
        <is>
          <t>Manchester</t>
        </is>
      </c>
      <c r="N5" s="8" t="inlineStr">
        <is>
          <t>Large scale cultivation reported by patrol</t>
        </is>
      </c>
      <c r="O5" s="8" t="inlineStr">
        <is>
          <t>Action - Surveillance</t>
        </is>
      </c>
      <c r="P5" s="8" t="inlineStr">
        <is>
          <t>Insp. Morgan</t>
        </is>
      </c>
      <c r="Q5" s="8" t="inlineStr">
        <is>
          <t>2025-02-10</t>
        </is>
      </c>
      <c r="R5" s="8" t="inlineStr"/>
      <c r="S5" s="8" t="inlineStr"/>
      <c r="T5" s="8" t="inlineStr"/>
      <c r="U5" s="8" t="inlineStr"/>
      <c r="V5" s="8" t="inlineStr">
        <is>
          <t>Cpl. James</t>
        </is>
      </c>
      <c r="W5" s="8" t="inlineStr">
        <is>
          <t>2025-02-10</t>
        </is>
      </c>
      <c r="X5" s="5" t="inlineStr">
        <is>
          <t>Submitted</t>
        </is>
      </c>
      <c r="Y5" s="5" t="inlineStr">
        <is>
          <t>System</t>
        </is>
      </c>
      <c r="Z5" s="5" t="inlineStr">
        <is>
          <t>2025-04-01</t>
        </is>
      </c>
    </row>
    <row r="6">
      <c r="A6" s="8" t="inlineStr">
        <is>
          <t>INT-2025-005</t>
        </is>
      </c>
      <c r="B6" s="8" t="inlineStr">
        <is>
          <t>2025-02-18</t>
        </is>
      </c>
      <c r="C6" s="8" t="inlineStr">
        <is>
          <t>16:30</t>
        </is>
      </c>
      <c r="D6" s="8" t="inlineStr">
        <is>
          <t>Walk-In Report</t>
        </is>
      </c>
      <c r="E6" s="8" t="inlineStr">
        <is>
          <t>WIR-0033</t>
        </is>
      </c>
      <c r="F6" s="8" t="inlineStr">
        <is>
          <t>Low</t>
        </is>
      </c>
      <c r="G6" s="8" t="inlineStr">
        <is>
          <t>Suspicious activity at warehouse</t>
        </is>
      </c>
      <c r="H6" s="8" t="inlineStr">
        <is>
          <t>No</t>
        </is>
      </c>
      <c r="I6" s="8" t="inlineStr">
        <is>
          <t>No</t>
        </is>
      </c>
      <c r="J6" s="8" t="inlineStr">
        <is>
          <t>No</t>
        </is>
      </c>
      <c r="K6" s="8" t="inlineStr">
        <is>
          <t>Unknown</t>
        </is>
      </c>
      <c r="L6" s="8" t="inlineStr">
        <is>
          <t>Spaldings Road</t>
        </is>
      </c>
      <c r="M6" s="8" t="inlineStr">
        <is>
          <t>Manchester</t>
        </is>
      </c>
      <c r="N6" s="8" t="inlineStr">
        <is>
          <t>Citizen reports trucks loading at night</t>
        </is>
      </c>
      <c r="O6" s="8" t="inlineStr">
        <is>
          <t>Intel Filed - Monitor</t>
        </is>
      </c>
      <c r="P6" s="8" t="inlineStr">
        <is>
          <t>Insp. Brown</t>
        </is>
      </c>
      <c r="Q6" s="8" t="inlineStr">
        <is>
          <t>2025-02-18</t>
        </is>
      </c>
      <c r="R6" s="8" t="inlineStr"/>
      <c r="S6" s="8" t="inlineStr"/>
      <c r="T6" s="8" t="inlineStr"/>
      <c r="U6" s="8" t="inlineStr"/>
      <c r="V6" s="8" t="inlineStr">
        <is>
          <t>DC Thompson</t>
        </is>
      </c>
      <c r="W6" s="8" t="inlineStr">
        <is>
          <t>2025-02-18</t>
        </is>
      </c>
      <c r="X6" s="5" t="inlineStr">
        <is>
          <t>Submitted</t>
        </is>
      </c>
      <c r="Y6" s="5" t="inlineStr">
        <is>
          <t>System</t>
        </is>
      </c>
      <c r="Z6" s="5" t="inlineStr">
        <is>
          <t>2025-04-01</t>
        </is>
      </c>
    </row>
    <row r="7">
      <c r="A7" s="8" t="inlineStr">
        <is>
          <t>INT-2025-006</t>
        </is>
      </c>
      <c r="B7" s="8" t="inlineStr">
        <is>
          <t>2025-03-01</t>
        </is>
      </c>
      <c r="C7" s="8" t="inlineStr">
        <is>
          <t>07:00</t>
        </is>
      </c>
      <c r="D7" s="8" t="inlineStr">
        <is>
          <t>MOCA</t>
        </is>
      </c>
      <c r="E7" s="8" t="inlineStr">
        <is>
          <t>MOCA-2025-019</t>
        </is>
      </c>
      <c r="F7" s="8" t="inlineStr">
        <is>
          <t>Critical</t>
        </is>
      </c>
      <c r="G7" s="8" t="inlineStr">
        <is>
          <t>Gang leader with illegal arsenal</t>
        </is>
      </c>
      <c r="H7" s="8" t="inlineStr">
        <is>
          <t>Yes</t>
        </is>
      </c>
      <c r="I7" s="8" t="inlineStr">
        <is>
          <t>Yes</t>
        </is>
      </c>
      <c r="J7" s="8" t="inlineStr">
        <is>
          <t>Yes</t>
        </is>
      </c>
      <c r="K7" s="8" t="inlineStr">
        <is>
          <t>Devon GRANT</t>
        </is>
      </c>
      <c r="L7" s="8" t="inlineStr">
        <is>
          <t>Christiana</t>
        </is>
      </c>
      <c r="M7" s="8" t="inlineStr">
        <is>
          <t>Manchester</t>
        </is>
      </c>
      <c r="N7" s="8" t="inlineStr">
        <is>
          <t>MOCA identifies key target with multiple firearms and drug links</t>
        </is>
      </c>
      <c r="O7" s="8" t="inlineStr">
        <is>
          <t>Action - Mount Operation</t>
        </is>
      </c>
      <c r="P7" s="8" t="inlineStr">
        <is>
          <t>Supt. Davis</t>
        </is>
      </c>
      <c r="Q7" s="8" t="inlineStr">
        <is>
          <t>2025-03-01</t>
        </is>
      </c>
      <c r="R7" s="8" t="inlineStr">
        <is>
          <t>OP-2025-004</t>
        </is>
      </c>
      <c r="S7" s="8" t="inlineStr">
        <is>
          <t>CR-2025-003</t>
        </is>
      </c>
      <c r="T7" s="8" t="inlineStr">
        <is>
          <t>Successful - Seizure + Arrest</t>
        </is>
      </c>
      <c r="U7" s="8" t="inlineStr">
        <is>
          <t>5 firearms, 2kg cocaine seized, 3 arrested</t>
        </is>
      </c>
      <c r="V7" s="8" t="inlineStr">
        <is>
          <t>DC Williams</t>
        </is>
      </c>
      <c r="W7" s="8" t="inlineStr">
        <is>
          <t>2025-03-01</t>
        </is>
      </c>
      <c r="X7" s="5" t="inlineStr">
        <is>
          <t>Submitted</t>
        </is>
      </c>
      <c r="Y7" s="5" t="inlineStr">
        <is>
          <t>System</t>
        </is>
      </c>
      <c r="Z7" s="5" t="inlineStr">
        <is>
          <t>2025-04-01</t>
        </is>
      </c>
    </row>
    <row r="8">
      <c r="A8" s="8" t="inlineStr">
        <is>
          <t>INT-2025-007</t>
        </is>
      </c>
      <c r="B8" s="8" t="inlineStr">
        <is>
          <t>2025-03-10</t>
        </is>
      </c>
      <c r="C8" s="8" t="inlineStr">
        <is>
          <t>11:20</t>
        </is>
      </c>
      <c r="D8" s="8" t="inlineStr">
        <is>
          <t>Anonymous</t>
        </is>
      </c>
      <c r="E8" s="8" t="inlineStr">
        <is>
          <t>ANON-071</t>
        </is>
      </c>
      <c r="F8" s="8" t="inlineStr">
        <is>
          <t>Medium</t>
        </is>
      </c>
      <c r="G8" s="8" t="inlineStr">
        <is>
          <t>Drug dealing at school zone</t>
        </is>
      </c>
      <c r="H8" s="8" t="inlineStr">
        <is>
          <t>No</t>
        </is>
      </c>
      <c r="I8" s="8" t="inlineStr">
        <is>
          <t>Yes</t>
        </is>
      </c>
      <c r="J8" s="8" t="inlineStr">
        <is>
          <t>No</t>
        </is>
      </c>
      <c r="K8" s="8" t="inlineStr">
        <is>
          <t>Unknown</t>
        </is>
      </c>
      <c r="L8" s="8" t="inlineStr">
        <is>
          <t>Mandeville High School area</t>
        </is>
      </c>
      <c r="M8" s="8" t="inlineStr">
        <is>
          <t>Manchester</t>
        </is>
      </c>
      <c r="N8" s="8" t="inlineStr">
        <is>
          <t>Ongoing drug sales near school perimeter</t>
        </is>
      </c>
      <c r="O8" s="8" t="inlineStr">
        <is>
          <t>Refer to Divisional CIB</t>
        </is>
      </c>
      <c r="P8" s="8" t="inlineStr">
        <is>
          <t>Insp. Morgan</t>
        </is>
      </c>
      <c r="Q8" s="8" t="inlineStr">
        <is>
          <t>2025-03-10</t>
        </is>
      </c>
      <c r="R8" s="8" t="inlineStr"/>
      <c r="S8" s="8" t="inlineStr"/>
      <c r="T8" s="8" t="inlineStr"/>
      <c r="U8" s="8" t="inlineStr"/>
      <c r="V8" s="8" t="inlineStr">
        <is>
          <t>Cpl. James</t>
        </is>
      </c>
      <c r="W8" s="8" t="inlineStr">
        <is>
          <t>2025-03-10</t>
        </is>
      </c>
      <c r="X8" s="5" t="inlineStr">
        <is>
          <t>Submitted</t>
        </is>
      </c>
      <c r="Y8" s="5" t="inlineStr">
        <is>
          <t>System</t>
        </is>
      </c>
      <c r="Z8" s="5" t="inlineStr">
        <is>
          <t>2025-04-01</t>
        </is>
      </c>
    </row>
    <row r="9">
      <c r="A9" s="8" t="inlineStr">
        <is>
          <t>INT-2025-008</t>
        </is>
      </c>
      <c r="B9" s="8" t="inlineStr">
        <is>
          <t>2025-03-15</t>
        </is>
      </c>
      <c r="C9" s="8" t="inlineStr">
        <is>
          <t>13:45</t>
        </is>
      </c>
      <c r="D9" s="8" t="inlineStr">
        <is>
          <t>JCA Detection</t>
        </is>
      </c>
      <c r="E9" s="8" t="inlineStr">
        <is>
          <t>JCA-2025-055</t>
        </is>
      </c>
      <c r="F9" s="8" t="inlineStr">
        <is>
          <t>High</t>
        </is>
      </c>
      <c r="G9" s="8" t="inlineStr">
        <is>
          <t>Ammunition in shipping barrel</t>
        </is>
      </c>
      <c r="H9" s="8" t="inlineStr">
        <is>
          <t>Yes</t>
        </is>
      </c>
      <c r="I9" s="8" t="inlineStr">
        <is>
          <t>No</t>
        </is>
      </c>
      <c r="J9" s="8" t="inlineStr">
        <is>
          <t>Yes</t>
        </is>
      </c>
      <c r="K9" s="8" t="inlineStr">
        <is>
          <t>Shipping Co. ABC Ltd</t>
        </is>
      </c>
      <c r="L9" s="8" t="inlineStr">
        <is>
          <t>Kingston Logistics Centre</t>
        </is>
      </c>
      <c r="M9" s="8" t="inlineStr">
        <is>
          <t>St. Catherine</t>
        </is>
      </c>
      <c r="N9" s="8" t="inlineStr">
        <is>
          <t>JCA X-ray detects ammunition in household barrel to Manchester</t>
        </is>
      </c>
      <c r="O9" s="8" t="inlineStr">
        <is>
          <t>Action - Port Alert</t>
        </is>
      </c>
      <c r="P9" s="8" t="inlineStr">
        <is>
          <t>Insp. Brown</t>
        </is>
      </c>
      <c r="Q9" s="8" t="inlineStr">
        <is>
          <t>2025-03-15</t>
        </is>
      </c>
      <c r="R9" s="8" t="inlineStr">
        <is>
          <t>OP-2025-005</t>
        </is>
      </c>
      <c r="S9" s="8" t="inlineStr"/>
      <c r="T9" s="8" t="inlineStr">
        <is>
          <t>Successful - Seizure Only</t>
        </is>
      </c>
      <c r="U9" s="8" t="inlineStr">
        <is>
          <t>500 rounds 9mm seized</t>
        </is>
      </c>
      <c r="V9" s="8" t="inlineStr">
        <is>
          <t>DC Thompson</t>
        </is>
      </c>
      <c r="W9" s="8" t="inlineStr">
        <is>
          <t>2025-03-15</t>
        </is>
      </c>
      <c r="X9" s="5" t="inlineStr">
        <is>
          <t>Submitted</t>
        </is>
      </c>
      <c r="Y9" s="5" t="inlineStr">
        <is>
          <t>System</t>
        </is>
      </c>
      <c r="Z9" s="5" t="inlineStr">
        <is>
          <t>2025-04-01</t>
        </is>
      </c>
    </row>
    <row r="10">
      <c r="A10" s="8" t="inlineStr">
        <is>
          <t>INT-2025-009</t>
        </is>
      </c>
      <c r="B10" s="8" t="inlineStr">
        <is>
          <t>2025-03-22</t>
        </is>
      </c>
      <c r="C10" s="8" t="inlineStr">
        <is>
          <t>08:00</t>
        </is>
      </c>
      <c r="D10" s="8" t="inlineStr">
        <is>
          <t>Patrol Intercept</t>
        </is>
      </c>
      <c r="E10" s="8" t="inlineStr">
        <is>
          <t>PI-MC-044</t>
        </is>
      </c>
      <c r="F10" s="8" t="inlineStr">
        <is>
          <t>High</t>
        </is>
      </c>
      <c r="G10" s="8" t="inlineStr">
        <is>
          <t>Vehicle with concealed compartment</t>
        </is>
      </c>
      <c r="H10" s="8" t="inlineStr">
        <is>
          <t>Yes</t>
        </is>
      </c>
      <c r="I10" s="8" t="inlineStr">
        <is>
          <t>Yes</t>
        </is>
      </c>
      <c r="J10" s="8" t="inlineStr">
        <is>
          <t>Yes</t>
        </is>
      </c>
      <c r="K10" s="8" t="inlineStr">
        <is>
          <t>Andrew BLAKE</t>
        </is>
      </c>
      <c r="L10" s="8" t="inlineStr">
        <is>
          <t>Highway 2000 checkpoint</t>
        </is>
      </c>
      <c r="M10" s="8" t="inlineStr">
        <is>
          <t>Clarendon</t>
        </is>
      </c>
      <c r="N10" s="8" t="inlineStr">
        <is>
          <t>Patrol finds modified vehicle with hidden compartment</t>
        </is>
      </c>
      <c r="O10" s="8" t="inlineStr">
        <is>
          <t>Action - Mount Operation</t>
        </is>
      </c>
      <c r="P10" s="8" t="inlineStr">
        <is>
          <t>Insp. Brown</t>
        </is>
      </c>
      <c r="Q10" s="8" t="inlineStr">
        <is>
          <t>2025-03-22</t>
        </is>
      </c>
      <c r="R10" s="8" t="inlineStr">
        <is>
          <t>OP-2025-006</t>
        </is>
      </c>
      <c r="S10" s="8" t="inlineStr">
        <is>
          <t>CR-2025-004</t>
        </is>
      </c>
      <c r="T10" s="8" t="inlineStr">
        <is>
          <t>Successful - Seizure + Arrest</t>
        </is>
      </c>
      <c r="U10" s="8" t="inlineStr">
        <is>
          <t>1 pistol, 200g cocaine, $500K cash</t>
        </is>
      </c>
      <c r="V10" s="8" t="inlineStr">
        <is>
          <t>DC Williams</t>
        </is>
      </c>
      <c r="W10" s="8" t="inlineStr">
        <is>
          <t>2025-03-22</t>
        </is>
      </c>
      <c r="X10" s="5" t="inlineStr">
        <is>
          <t>Submitted</t>
        </is>
      </c>
      <c r="Y10" s="5" t="inlineStr">
        <is>
          <t>System</t>
        </is>
      </c>
      <c r="Z10" s="5" t="inlineStr">
        <is>
          <t>2025-04-01</t>
        </is>
      </c>
    </row>
    <row r="11">
      <c r="A11" s="8" t="inlineStr">
        <is>
          <t>INT-2025-010</t>
        </is>
      </c>
      <c r="B11" s="8" t="inlineStr">
        <is>
          <t>2025-04-01</t>
        </is>
      </c>
      <c r="C11" s="8" t="inlineStr">
        <is>
          <t>15:00</t>
        </is>
      </c>
      <c r="D11" s="8" t="inlineStr">
        <is>
          <t>UK NCA</t>
        </is>
      </c>
      <c r="E11" s="8" t="inlineStr">
        <is>
          <t>NCA-JM-2025-003</t>
        </is>
      </c>
      <c r="F11" s="8" t="inlineStr">
        <is>
          <t>Critical</t>
        </is>
      </c>
      <c r="G11" s="8" t="inlineStr">
        <is>
          <t>International cocaine trafficking ring</t>
        </is>
      </c>
      <c r="H11" s="8" t="inlineStr">
        <is>
          <t>No</t>
        </is>
      </c>
      <c r="I11" s="8" t="inlineStr">
        <is>
          <t>Yes</t>
        </is>
      </c>
      <c r="J11" s="8" t="inlineStr">
        <is>
          <t>Yes</t>
        </is>
      </c>
      <c r="K11" s="8" t="inlineStr">
        <is>
          <t>Multiple targets</t>
        </is>
      </c>
      <c r="L11" s="8" t="inlineStr">
        <is>
          <t>South coast</t>
        </is>
      </c>
      <c r="M11" s="8" t="inlineStr">
        <is>
          <t>St. Elizabeth</t>
        </is>
      </c>
      <c r="N11" s="8" t="inlineStr">
        <is>
          <t>NCA requests assistance with Jamaica end of trafficking network</t>
        </is>
      </c>
      <c r="O11" s="8" t="inlineStr">
        <is>
          <t>Action - Surveillance</t>
        </is>
      </c>
      <c r="P11" s="8" t="inlineStr">
        <is>
          <t>Supt. Davis</t>
        </is>
      </c>
      <c r="Q11" s="8" t="inlineStr">
        <is>
          <t>2025-04-01</t>
        </is>
      </c>
      <c r="R11" s="8" t="inlineStr"/>
      <c r="S11" s="8" t="inlineStr"/>
      <c r="T11" s="8" t="inlineStr">
        <is>
          <t>Ongoing</t>
        </is>
      </c>
      <c r="U11" s="8" t="inlineStr">
        <is>
          <t>Joint surveillance operation planned</t>
        </is>
      </c>
      <c r="V11" s="8" t="inlineStr">
        <is>
          <t>DC Thompson</t>
        </is>
      </c>
      <c r="W11" s="8" t="inlineStr">
        <is>
          <t>2025-04-01</t>
        </is>
      </c>
      <c r="X11" s="5" t="inlineStr">
        <is>
          <t>Submitted</t>
        </is>
      </c>
      <c r="Y11" s="5" t="inlineStr">
        <is>
          <t>System</t>
        </is>
      </c>
      <c r="Z11" s="5" t="inlineStr">
        <is>
          <t>2025-04-01</t>
        </is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</row>
  </sheetData>
  <conditionalFormatting sqref="X2:X1000">
    <cfRule type="cellIs" priority="1" operator="equal" dxfId="0">
      <formula>"Draft"</formula>
    </cfRule>
    <cfRule type="cellIs" priority="2" operator="equal" dxfId="1">
      <formula>"Submitted"</formula>
    </cfRule>
    <cfRule type="cellIs" priority="3" operator="equal" dxfId="2">
      <formula>"Edited"</formula>
    </cfRule>
  </conditionalFormatting>
  <dataValidations count="8">
    <dataValidation sqref="X2:X31" showDropDown="0" showInputMessage="0" showErrorMessage="0" allowBlank="1" errorTitle="Invalid" error="Select from dropdown" type="list">
      <formula1>"Draft,Submitted,Edited"</formula1>
    </dataValidation>
    <dataValidation sqref="D2:D500" showDropDown="0" showInputMessage="0" showErrorMessage="0" allowBlank="1" errorTitle="Invalid" error="Select from dropdown" type="list">
      <formula1>Lookups!$A$2:$A$20</formula1>
    </dataValidation>
    <dataValidation sqref="F2:F500" showDropDown="0" showInputMessage="0" showErrorMessage="0" allowBlank="1" errorTitle="Invalid" error="Select from dropdown" type="list">
      <formula1>Lookups!$B$2:$B$10</formula1>
    </dataValidation>
    <dataValidation sqref="H2:H500" showDropDown="0" showInputMessage="0" showErrorMessage="0" allowBlank="1" errorTitle="Invalid" error="Select from dropdown" type="list">
      <formula1>Lookups!$D$2:$D$5</formula1>
    </dataValidation>
    <dataValidation sqref="I2:I500" showDropDown="0" showInputMessage="0" showErrorMessage="0" allowBlank="1" errorTitle="Invalid" error="Select from dropdown" type="list">
      <formula1>Lookups!$D$2:$D$5</formula1>
    </dataValidation>
    <dataValidation sqref="J2:J500" showDropDown="0" showInputMessage="0" showErrorMessage="0" allowBlank="1" errorTitle="Invalid" error="Select from dropdown" type="list">
      <formula1>Lookups!$D$2:$D$5</formula1>
    </dataValidation>
    <dataValidation sqref="M2:M500" showDropDown="0" showInputMessage="0" showErrorMessage="0" allowBlank="1" errorTitle="Invalid" error="Select from dropdown" type="list">
      <formula1>Lookups!$C$2:$C$20</formula1>
    </dataValidation>
    <dataValidation sqref="O2:O500" showDropDown="0" showInputMessage="0" showErrorMessage="0" allowBlank="1" errorTitle="Invalid" error="Select from dropdown" type="list">
      <formula1>Lookups!$F$2:$F$12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B2:L40"/>
  <sheetViews>
    <sheetView showGridLines="0" workbookViewId="0">
      <selection activeCell="A1" sqref="A1"/>
    </sheetView>
  </sheetViews>
  <sheetFormatPr baseColWidth="8" defaultRowHeight="15"/>
  <sheetData>
    <row r="2">
      <c r="B2" s="9" t="inlineStr">
        <is>
          <t>INTEL UNIT DASHBOARD - FNID Area 3</t>
        </is>
      </c>
    </row>
    <row r="4">
      <c r="B4" s="10">
        <f>COUNTA(Intel_Log!A2:A31)</f>
        <v/>
      </c>
      <c r="C4" s="11" t="n"/>
      <c r="E4" s="10">
        <f>COUNTIF(Intel_Log!F2:F31,"Critical")</f>
        <v/>
      </c>
      <c r="F4" s="11" t="n"/>
      <c r="H4" s="10">
        <f>COUNTIF(Intel_Log!O2:O31,"Action*")</f>
        <v/>
      </c>
      <c r="I4" s="11" t="n"/>
      <c r="K4" s="10">
        <f>COUNTIF(Intel_Log!H2:H31,"Yes")</f>
        <v/>
      </c>
      <c r="L4" s="11" t="n"/>
    </row>
    <row r="5">
      <c r="B5" s="12" t="inlineStr">
        <is>
          <t>Total Intel Reports</t>
        </is>
      </c>
      <c r="C5" s="11" t="n"/>
      <c r="E5" s="12" t="inlineStr">
        <is>
          <t>Critical Priority</t>
        </is>
      </c>
      <c r="F5" s="11" t="n"/>
      <c r="H5" s="12" t="inlineStr">
        <is>
          <t>Actioned</t>
        </is>
      </c>
      <c r="I5" s="11" t="n"/>
      <c r="K5" s="12" t="inlineStr">
        <is>
          <t>Firearms Related</t>
        </is>
      </c>
      <c r="L5" s="11" t="n"/>
    </row>
    <row r="8">
      <c r="B8" s="4" t="inlineStr">
        <is>
          <t>Source</t>
        </is>
      </c>
      <c r="C8" s="4" t="inlineStr">
        <is>
          <t>Count</t>
        </is>
      </c>
    </row>
    <row r="9">
      <c r="B9" s="5" t="inlineStr">
        <is>
          <t>Crime Stop (311)</t>
        </is>
      </c>
      <c r="C9" s="5">
        <f>COUNTIF(Intel_Log!D2:D31,B9)</f>
        <v/>
      </c>
    </row>
    <row r="10">
      <c r="B10" s="5" t="inlineStr">
        <is>
          <t>Informant</t>
        </is>
      </c>
      <c r="C10" s="5">
        <f>COUNTIF(Intel_Log!D2:D31,B10)</f>
        <v/>
      </c>
    </row>
    <row r="11">
      <c r="B11" s="5" t="inlineStr">
        <is>
          <t>DEA</t>
        </is>
      </c>
      <c r="C11" s="5">
        <f>COUNTIF(Intel_Log!D2:D31,B11)</f>
        <v/>
      </c>
    </row>
    <row r="12">
      <c r="B12" s="5" t="inlineStr">
        <is>
          <t>MOCA</t>
        </is>
      </c>
      <c r="C12" s="5">
        <f>COUNTIF(Intel_Log!D2:D31,B12)</f>
        <v/>
      </c>
    </row>
    <row r="13">
      <c r="B13" s="5" t="inlineStr">
        <is>
          <t>Anonymous</t>
        </is>
      </c>
      <c r="C13" s="5">
        <f>COUNTIF(Intel_Log!D2:D31,B13)</f>
        <v/>
      </c>
    </row>
    <row r="14">
      <c r="B14" s="5" t="inlineStr">
        <is>
          <t>JCA Detection</t>
        </is>
      </c>
      <c r="C14" s="5">
        <f>COUNTIF(Intel_Log!D2:D31,B14)</f>
        <v/>
      </c>
    </row>
    <row r="15">
      <c r="B15" s="5" t="inlineStr">
        <is>
          <t>Patrol Intercept</t>
        </is>
      </c>
      <c r="C15" s="5">
        <f>COUNTIF(Intel_Log!D2:D31,B15)</f>
        <v/>
      </c>
    </row>
    <row r="16">
      <c r="B16" s="5" t="inlineStr">
        <is>
          <t>Walk-In Report</t>
        </is>
      </c>
      <c r="C16" s="5">
        <f>COUNTIF(Intel_Log!D2:D31,B16)</f>
        <v/>
      </c>
    </row>
    <row r="17">
      <c r="B17" s="5" t="inlineStr">
        <is>
          <t>UK NCA</t>
        </is>
      </c>
      <c r="C17" s="5">
        <f>COUNTIF(Intel_Log!D2:D31,B17)</f>
        <v/>
      </c>
    </row>
    <row r="18">
      <c r="B18" s="5" t="inlineStr">
        <is>
          <t>Other</t>
        </is>
      </c>
      <c r="C18" s="5">
        <f>COUNTA(Intel_Log!D2:D31)-SUM(C9:C17)</f>
        <v/>
      </c>
    </row>
    <row r="21">
      <c r="B21" s="4" t="inlineStr">
        <is>
          <t>Priority</t>
        </is>
      </c>
      <c r="C21" s="4" t="inlineStr">
        <is>
          <t>Count</t>
        </is>
      </c>
    </row>
    <row r="22">
      <c r="B22" s="5" t="inlineStr">
        <is>
          <t>Critical</t>
        </is>
      </c>
      <c r="C22" s="5">
        <f>COUNTIF(Intel_Log!F2:F31,B22)</f>
        <v/>
      </c>
    </row>
    <row r="23">
      <c r="B23" s="5" t="inlineStr">
        <is>
          <t>High</t>
        </is>
      </c>
      <c r="C23" s="5">
        <f>COUNTIF(Intel_Log!F2:F31,B23)</f>
        <v/>
      </c>
    </row>
    <row r="24">
      <c r="B24" s="5" t="inlineStr">
        <is>
          <t>Medium</t>
        </is>
      </c>
      <c r="C24" s="5">
        <f>COUNTIF(Intel_Log!F2:F31,B24)</f>
        <v/>
      </c>
    </row>
    <row r="25">
      <c r="B25" s="5" t="inlineStr">
        <is>
          <t>Low</t>
        </is>
      </c>
      <c r="C25" s="5">
        <f>COUNTIF(Intel_Log!F2:F31,B25)</f>
        <v/>
      </c>
    </row>
    <row r="28">
      <c r="B28" s="4" t="inlineStr">
        <is>
          <t>Month</t>
        </is>
      </c>
      <c r="C28" s="4" t="inlineStr">
        <is>
          <t>Count</t>
        </is>
      </c>
    </row>
    <row r="29">
      <c r="B29" s="5" t="inlineStr">
        <is>
          <t>Jan</t>
        </is>
      </c>
      <c r="C29" s="5">
        <f>COUNTIFS(Intel_Log!B2:B31,"&gt;="&amp;"2025-01-01",Intel_Log!B2:B31,"&lt;"&amp;"2025-02-01")</f>
        <v/>
      </c>
    </row>
    <row r="30">
      <c r="B30" s="5" t="inlineStr">
        <is>
          <t>Feb</t>
        </is>
      </c>
      <c r="C30" s="5">
        <f>COUNTIFS(Intel_Log!B2:B31,"&gt;="&amp;"2025-02-01",Intel_Log!B2:B31,"&lt;"&amp;"2025-03-01")</f>
        <v/>
      </c>
    </row>
    <row r="31">
      <c r="B31" s="5" t="inlineStr">
        <is>
          <t>Mar</t>
        </is>
      </c>
      <c r="C31" s="5">
        <f>COUNTIFS(Intel_Log!B2:B31,"&gt;="&amp;"2025-03-01",Intel_Log!B2:B31,"&lt;"&amp;"2025-04-01")</f>
        <v/>
      </c>
    </row>
    <row r="32">
      <c r="B32" s="5" t="inlineStr">
        <is>
          <t>Apr</t>
        </is>
      </c>
      <c r="C32" s="5">
        <f>COUNTIFS(Intel_Log!B2:B31,"&gt;="&amp;"2025-04-01",Intel_Log!B2:B31,"&lt;"&amp;"2025-05-01")</f>
        <v/>
      </c>
    </row>
    <row r="33">
      <c r="B33" s="5" t="inlineStr">
        <is>
          <t>May</t>
        </is>
      </c>
      <c r="C33" s="5">
        <f>COUNTIFS(Intel_Log!B2:B31,"&gt;="&amp;"2025-05-01",Intel_Log!B2:B31,"&lt;"&amp;"2025-06-01")</f>
        <v/>
      </c>
    </row>
    <row r="34">
      <c r="B34" s="5" t="inlineStr">
        <is>
          <t>Jun</t>
        </is>
      </c>
      <c r="C34" s="5">
        <f>COUNTIFS(Intel_Log!B2:B31,"&gt;="&amp;"2025-06-01",Intel_Log!B2:B31,"&lt;"&amp;"2025-07-01")</f>
        <v/>
      </c>
    </row>
    <row r="35">
      <c r="B35" s="5" t="inlineStr">
        <is>
          <t>Jul</t>
        </is>
      </c>
      <c r="C35" s="5">
        <f>COUNTIFS(Intel_Log!B2:B31,"&gt;="&amp;"2025-07-01",Intel_Log!B2:B31,"&lt;"&amp;"2025-08-01")</f>
        <v/>
      </c>
    </row>
    <row r="36">
      <c r="B36" s="5" t="inlineStr">
        <is>
          <t>Aug</t>
        </is>
      </c>
      <c r="C36" s="5">
        <f>COUNTIFS(Intel_Log!B2:B31,"&gt;="&amp;"2025-08-01",Intel_Log!B2:B31,"&lt;"&amp;"2025-09-01")</f>
        <v/>
      </c>
    </row>
    <row r="37">
      <c r="B37" s="5" t="inlineStr">
        <is>
          <t>Sep</t>
        </is>
      </c>
      <c r="C37" s="5">
        <f>COUNTIFS(Intel_Log!B2:B31,"&gt;="&amp;"2025-09-01",Intel_Log!B2:B31,"&lt;"&amp;"2025-10-01")</f>
        <v/>
      </c>
    </row>
    <row r="38">
      <c r="B38" s="5" t="inlineStr">
        <is>
          <t>Oct</t>
        </is>
      </c>
      <c r="C38" s="5">
        <f>COUNTIFS(Intel_Log!B2:B31,"&gt;="&amp;"2025-10-01",Intel_Log!B2:B31,"&lt;"&amp;"2025-11-01")</f>
        <v/>
      </c>
    </row>
    <row r="39">
      <c r="B39" s="5" t="inlineStr">
        <is>
          <t>Nov</t>
        </is>
      </c>
      <c r="C39" s="5">
        <f>COUNTIFS(Intel_Log!B2:B31,"&gt;="&amp;"2025-11-01",Intel_Log!B2:B31,"&lt;"&amp;"2025-12-01")</f>
        <v/>
      </c>
    </row>
    <row r="40">
      <c r="B40" s="5" t="inlineStr">
        <is>
          <t>Dec</t>
        </is>
      </c>
      <c r="C40" s="5">
        <f>COUNTIFS(Intel_Log!B2:B31,"&gt;="&amp;"2025-12-01",Intel_Log!B2:B31,"&lt;"&amp;"2025-2026-01-01")</f>
        <v/>
      </c>
    </row>
  </sheetData>
  <mergeCells count="9">
    <mergeCell ref="E4:F4"/>
    <mergeCell ref="B5:C5"/>
    <mergeCell ref="E5:F5"/>
    <mergeCell ref="K5:L5"/>
    <mergeCell ref="H5:I5"/>
    <mergeCell ref="H4:I4"/>
    <mergeCell ref="B2:K2"/>
    <mergeCell ref="K4:L4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3" t="inlineStr">
        <is>
          <t>IntelSource</t>
        </is>
      </c>
      <c r="B1" s="13" t="inlineStr">
        <is>
          <t>Priority</t>
        </is>
      </c>
      <c r="C1" s="13" t="inlineStr">
        <is>
          <t>Parish</t>
        </is>
      </c>
      <c r="D1" s="13" t="inlineStr">
        <is>
          <t>YesNo</t>
        </is>
      </c>
      <c r="E1" s="13" t="inlineStr">
        <is>
          <t>RecordStatus</t>
        </is>
      </c>
      <c r="F1" s="13" t="inlineStr">
        <is>
          <t>TriageDecision</t>
        </is>
      </c>
    </row>
    <row r="2">
      <c r="A2" t="inlineStr">
        <is>
          <t>Crime Stop (311)</t>
        </is>
      </c>
      <c r="B2" t="inlineStr">
        <is>
          <t>Critical</t>
        </is>
      </c>
      <c r="C2" t="inlineStr">
        <is>
          <t>Manchester</t>
        </is>
      </c>
      <c r="D2" t="inlineStr">
        <is>
          <t>Yes</t>
        </is>
      </c>
      <c r="E2" t="inlineStr">
        <is>
          <t>Draft</t>
        </is>
      </c>
      <c r="F2" t="inlineStr">
        <is>
          <t>Action - Mount Operation</t>
        </is>
      </c>
    </row>
    <row r="3">
      <c r="A3" t="inlineStr">
        <is>
          <t>NIB (811)</t>
        </is>
      </c>
      <c r="B3" t="inlineStr">
        <is>
          <t>High</t>
        </is>
      </c>
      <c r="C3" t="inlineStr">
        <is>
          <t>St. Elizabeth</t>
        </is>
      </c>
      <c r="D3" t="inlineStr">
        <is>
          <t>No</t>
        </is>
      </c>
      <c r="E3" t="inlineStr">
        <is>
          <t>Submitted</t>
        </is>
      </c>
      <c r="F3" t="inlineStr">
        <is>
          <t>Action - Surveillance</t>
        </is>
      </c>
    </row>
    <row r="4">
      <c r="A4" t="inlineStr">
        <is>
          <t>Informant</t>
        </is>
      </c>
      <c r="B4" t="inlineStr">
        <is>
          <t>Medium</t>
        </is>
      </c>
      <c r="C4" t="inlineStr">
        <is>
          <t>Clarendon</t>
        </is>
      </c>
      <c r="E4" t="inlineStr">
        <is>
          <t>Edited</t>
        </is>
      </c>
      <c r="F4" t="inlineStr">
        <is>
          <t>Action - Port Alert</t>
        </is>
      </c>
    </row>
    <row r="5">
      <c r="A5" t="inlineStr">
        <is>
          <t>DEA</t>
        </is>
      </c>
      <c r="B5" t="inlineStr">
        <is>
          <t>Low</t>
        </is>
      </c>
      <c r="C5" t="inlineStr">
        <is>
          <t>Kingston</t>
        </is>
      </c>
      <c r="F5" t="inlineStr">
        <is>
          <t>Refer to Divisional CIB</t>
        </is>
      </c>
    </row>
    <row r="6">
      <c r="A6" t="inlineStr">
        <is>
          <t>ATF</t>
        </is>
      </c>
      <c r="C6" t="inlineStr">
        <is>
          <t>St. Andrew</t>
        </is>
      </c>
      <c r="F6" t="inlineStr">
        <is>
          <t>Refer to MOCA</t>
        </is>
      </c>
    </row>
    <row r="7">
      <c r="A7" t="inlineStr">
        <is>
          <t>HSI</t>
        </is>
      </c>
      <c r="C7" t="inlineStr">
        <is>
          <t>St. Thomas</t>
        </is>
      </c>
      <c r="F7" t="inlineStr">
        <is>
          <t>Refer to SIB</t>
        </is>
      </c>
    </row>
    <row r="8">
      <c r="A8" t="inlineStr">
        <is>
          <t>MOCA</t>
        </is>
      </c>
      <c r="C8" t="inlineStr">
        <is>
          <t>Portland</t>
        </is>
      </c>
      <c r="F8" t="inlineStr">
        <is>
          <t>Intel Filed - Monitor</t>
        </is>
      </c>
    </row>
    <row r="9">
      <c r="A9" t="inlineStr">
        <is>
          <t>JCA Detection</t>
        </is>
      </c>
      <c r="C9" t="inlineStr">
        <is>
          <t>St. Mary</t>
        </is>
      </c>
      <c r="F9" t="inlineStr">
        <is>
          <t>Closed - Insufficient Info</t>
        </is>
      </c>
    </row>
    <row r="10">
      <c r="A10" t="inlineStr">
        <is>
          <t>Divisional CIB</t>
        </is>
      </c>
      <c r="C10" t="inlineStr">
        <is>
          <t>St. Ann</t>
        </is>
      </c>
    </row>
    <row r="11">
      <c r="A11" t="inlineStr">
        <is>
          <t>Patrol Intercept</t>
        </is>
      </c>
      <c r="C11" t="inlineStr">
        <is>
          <t>Trelawny</t>
        </is>
      </c>
    </row>
    <row r="12">
      <c r="A12" t="inlineStr">
        <is>
          <t>C-TOC/SIB</t>
        </is>
      </c>
      <c r="C12" t="inlineStr">
        <is>
          <t>St. James</t>
        </is>
      </c>
    </row>
    <row r="13">
      <c r="A13" t="inlineStr">
        <is>
          <t>INTERPOL</t>
        </is>
      </c>
      <c r="C13" t="inlineStr">
        <is>
          <t>Hanover</t>
        </is>
      </c>
    </row>
    <row r="14">
      <c r="A14" t="inlineStr">
        <is>
          <t>Walk-In Report</t>
        </is>
      </c>
      <c r="C14" t="inlineStr">
        <is>
          <t>Westmoreland</t>
        </is>
      </c>
    </row>
    <row r="15">
      <c r="A15" t="inlineStr">
        <is>
          <t>FNID Direct (923-6184)</t>
        </is>
      </c>
      <c r="C15" t="inlineStr">
        <is>
          <t>St. Catherine</t>
        </is>
      </c>
    </row>
    <row r="16">
      <c r="A16" t="inlineStr">
        <is>
          <t>UK NCA</t>
        </is>
      </c>
    </row>
    <row r="17">
      <c r="A17" t="inlineStr">
        <is>
          <t>US Marshals</t>
        </is>
      </c>
    </row>
    <row r="18">
      <c r="A18" t="inlineStr">
        <is>
          <t>Anonymous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2026-02-27T06:20:07Z</dcterms:created>
  <dcterms:modified xmlns:dcterms="http://purl.org/dc/terms/" xmlns:xsi="http://www.w3.org/2001/XMLSchema-instance" xsi:type="dcterms:W3CDTF">2026-02-27T06:20:07Z</dcterms:modified>
</cp:coreProperties>
</file>