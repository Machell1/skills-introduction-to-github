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Case_Registry" sheetId="2" state="visible" r:id="rId2"/>
    <sheet xmlns:r="http://schemas.openxmlformats.org/officeDocument/2006/relationships" name="DPP_Pipeline" sheetId="3" state="visible" r:id="rId3"/>
    <sheet xmlns:r="http://schemas.openxmlformats.org/officeDocument/2006/relationships" name="SOP_Checklist" sheetId="4" state="visible" r:id="rId4"/>
    <sheet xmlns:r="http://schemas.openxmlformats.org/officeDocument/2006/relationships" name="Witness_Statements" sheetId="5" state="visible" r:id="rId5"/>
    <sheet xmlns:r="http://schemas.openxmlformats.org/officeDocument/2006/relationships" name="Disclosure_Log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Look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8B4513"/>
      <sz val="20"/>
    </font>
    <font>
      <name val="Calibri"/>
      <i val="1"/>
      <color rgb="00808080"/>
      <sz val="11"/>
    </font>
    <font>
      <name val="Calibri"/>
      <b val="1"/>
      <color rgb="00002060"/>
      <sz val="12"/>
    </font>
    <font>
      <name val="Calibri"/>
      <b val="1"/>
      <sz val="10"/>
    </font>
    <font>
      <name val="Calibri"/>
      <sz val="10"/>
    </font>
    <font>
      <name val="Calibri"/>
      <color rgb="00808080"/>
      <sz val="9"/>
    </font>
    <font>
      <name val="Calibri"/>
      <b val="1"/>
      <color rgb="00FFFFFF"/>
      <sz val="10"/>
    </font>
    <font>
      <name val="Calibri"/>
      <b val="1"/>
      <color rgb="001F3864"/>
      <sz val="16"/>
    </font>
    <font>
      <name val="Calibri"/>
      <i val="1"/>
      <color rgb="00808080"/>
      <sz val="9"/>
    </font>
    <font>
      <name val="Calibri"/>
      <b val="1"/>
      <color rgb="001F3864"/>
      <sz val="2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2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D0E0F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Status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'Dashboard'!$B$10:$B$16</f>
            </numRef>
          </cat>
          <val>
            <numRef>
              <f>'Dashboard'!$C$10:$C$16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DPP Submission Pipeline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'Dashboard'!$B$20:$B$27</f>
            </numRef>
          </cat>
          <val>
            <numRef>
              <f>'Dashboard'!$C$20:$C$27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SOP Compliance Status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'Dashboard'!$B$31:$B$36</f>
            </numRef>
          </cat>
          <val>
            <numRef>
              <f>'Dashboard'!$C$31:$C$36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Classification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'Dashboard'!$B$40:$B$45</f>
            </numRef>
          </cat>
          <val>
            <numRef>
              <f>'Dashboard'!$C$40:$C$45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29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38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CaseRegistry" displayName="tbl_CaseRegistry" ref="A1:AJ25" headerRowCount="1">
  <autoFilter ref="A1:AJ25"/>
  <tableColumns count="36">
    <tableColumn id="1" name="CaseID"/>
    <tableColumn id="2" name="RegistrationDate"/>
    <tableColumn id="3" name="Classification"/>
    <tableColumn id="4" name="OIC_Name"/>
    <tableColumn id="5" name="OIC_Rank"/>
    <tableColumn id="6" name="OIC_BadgeNo"/>
    <tableColumn id="7" name="Parish"/>
    <tableColumn id="8" name="Division"/>
    <tableColumn id="9" name="OffenceDescription"/>
    <tableColumn id="10" name="LawAndSection"/>
    <tableColumn id="11" name="SuspectName"/>
    <tableColumn id="12" name="SuspectDOB"/>
    <tableColumn id="13" name="SuspectAddress"/>
    <tableColumn id="14" name="SuspectOccupation"/>
    <tableColumn id="15" name="VictimName"/>
    <tableColumn id="16" name="VictimAddress"/>
    <tableColumn id="17" name="LinkedIntelID"/>
    <tableColumn id="18" name="LinkedOpID"/>
    <tableColumn id="19" name="LinkedArrestID"/>
    <tableColumn id="20" name="CaseStatus"/>
    <tableColumn id="21" name="FileCompleteness"/>
    <tableColumn id="22" name="SOPCompliance"/>
    <tableColumn id="23" name="DPPSubmissionDate"/>
    <tableColumn id="24" name="DPPStatus"/>
    <tableColumn id="25" name="DPPRuling"/>
    <tableColumn id="26" name="CourtType"/>
    <tableColumn id="27" name="NextCourtDate"/>
    <tableColumn id="28" name="TrialDate"/>
    <tableColumn id="29" name="Verdict"/>
    <tableColumn id="30" name="Sentence"/>
    <tableColumn id="31" name="POCAReferred"/>
    <tableColumn id="32" name="POCAStatus"/>
    <tableColumn id="33" name="CreatedBy"/>
    <tableColumn id="34" name="CreatedDate"/>
    <tableColumn id="35" name="LastUpdated"/>
    <tableColumn id="3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DPPPipeline" displayName="tbl_DPPPipeline" ref="A1:S21" headerRowCount="1">
  <autoFilter ref="A1:S21"/>
  <tableColumns count="19">
    <tableColumn id="1" name="CaseID"/>
    <tableColumn id="2" name="Classification"/>
    <tableColumn id="3" name="OIC_Name"/>
    <tableColumn id="4" name="SuspectName"/>
    <tableColumn id="5" name="OffenceSummary"/>
    <tableColumn id="6" name="DPPFileDate"/>
    <tableColumn id="7" name="CrownCounselAssigned"/>
    <tableColumn id="8" name="DPPStatus"/>
    <tableColumn id="9" name="EvidentialSufficiency"/>
    <tableColumn id="10" name="PublicInterestMet"/>
    <tableColumn id="11" name="RulingDate"/>
    <tableColumn id="12" name="RulingOutcome"/>
    <tableColumn id="13" name="RulingNotes"/>
    <tableColumn id="14" name="VoluntaryBillRequired"/>
    <tableColumn id="15" name="PrelimExamRequired"/>
    <tableColumn id="16" name="ReturnedForInvestigation"/>
    <tableColumn id="17" name="ReturnReason"/>
    <tableColumn id="18" name="FileResubmissionDate"/>
    <tableColumn id="1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SOPChecklist" displayName="tbl_SOPChecklist" ref="A1:AE21" headerRowCount="1">
  <autoFilter ref="A1:AE21"/>
  <tableColumns count="31">
    <tableColumn id="1" name="CaseID"/>
    <tableColumn id="2" name="OIC_Name"/>
    <tableColumn id="3" name="ChecklistDate"/>
    <tableColumn id="4" name="StationDiaryEntry"/>
    <tableColumn id="5" name="CrimeReportFiled"/>
    <tableColumn id="6" name="OffenceRegisterUpdated"/>
    <tableColumn id="7" name="SuspectCautioned"/>
    <tableColumn id="8" name="RightsAdvised"/>
    <tableColumn id="9" name="DetaineeBookEntry"/>
    <tableColumn id="10" name="PropertyBookEntry"/>
    <tableColumn id="11" name="48hrComplianceMet"/>
    <tableColumn id="12" name="ExhibitRegisterUpdated"/>
    <tableColumn id="13" name="ExhibitsPhotographed"/>
    <tableColumn id="14" name="ExhibitsSealed"/>
    <tableColumn id="15" name="ChainOfCustodyStarted"/>
    <tableColumn id="16" name="ForensicSubmissionsMade"/>
    <tableColumn id="17" name="VictimStatementTaken"/>
    <tableColumn id="18" name="WitnessStatementsTaken"/>
    <tableColumn id="19" name="SuspectStatementCautioned"/>
    <tableColumn id="20" name="OfficerStatements"/>
    <tableColumn id="21" name="ScenePhotographed"/>
    <tableColumn id="22" name="SceneSketchDrawn"/>
    <tableColumn id="23" name="IDParadeRequired"/>
    <tableColumn id="24" name="IDParadeConducted"/>
    <tableColumn id="25" name="ForensicCertsReceived"/>
    <tableColumn id="26" name="BallisticCertReceived"/>
    <tableColumn id="27" name="PostMortemReceived"/>
    <tableColumn id="28" name="DPPFileComplete"/>
    <tableColumn id="29" name="DisclosurePackagePrepared"/>
    <tableColumn id="30" name="OverallCompliance"/>
    <tableColumn id="31" name="Compliance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WitnessStatements" displayName="tbl_WitnessStatements" ref="A1:P21" headerRowCount="1">
  <autoFilter ref="A1:P21"/>
  <tableColumns count="16">
    <tableColumn id="1" name="StatementID"/>
    <tableColumn id="2" name="CaseID"/>
    <tableColumn id="3" name="WitnessName"/>
    <tableColumn id="4" name="WitnessType"/>
    <tableColumn id="5" name="WitnessAddress"/>
    <tableColumn id="6" name="WitnessPhone"/>
    <tableColumn id="7" name="RelationToCase"/>
    <tableColumn id="8" name="StatementDate"/>
    <tableColumn id="9" name="StatementTakenBy"/>
    <tableColumn id="10" name="StatementPages"/>
    <tableColumn id="11" name="StatementSigned"/>
    <tableColumn id="12" name="WitnessWilling"/>
    <tableColumn id="13" name="SpecialMeasuresNeeded"/>
    <tableColumn id="14" name="SpecialMeasuresType"/>
    <tableColumn id="15" name="AvailableForCourt"/>
    <tableColumn id="1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DisclosureLog" displayName="tbl_DisclosureLog" ref="A1:Q21" headerRowCount="1">
  <autoFilter ref="A1:Q21"/>
  <tableColumns count="17">
    <tableColumn id="1" name="DisclosureID"/>
    <tableColumn id="2" name="CaseID"/>
    <tableColumn id="3" name="DisclosureDate"/>
    <tableColumn id="4" name="DisclosureType"/>
    <tableColumn id="5" name="MaterialDisclosed"/>
    <tableColumn id="6" name="ServedOnDefence"/>
    <tableColumn id="7" name="DefenceSolicitor"/>
    <tableColumn id="8" name="ServiceMethod"/>
    <tableColumn id="9" name="ServiceDate"/>
    <tableColumn id="10" name="AcknowledgementReceived"/>
    <tableColumn id="11" name="PIIApplicationMade"/>
    <tableColumn id="12" name="PIIOutcome"/>
    <tableColumn id="13" name="SupplementaryDisclosureNeeded"/>
    <tableColumn id="14" name="SupplementaryDate"/>
    <tableColumn id="15" name="DisclosureStatus"/>
    <tableColumn id="16" name="PreparedBy"/>
    <tableColumn id="1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8B4513"/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40" customWidth="1" min="3" max="3"/>
  </cols>
  <sheetData>
    <row r="2">
      <c r="B2" s="1" t="inlineStr">
        <is>
          <t>FNID AREA 3 - REGISTRY UNIT PORTAL</t>
        </is>
      </c>
    </row>
    <row r="3">
      <c r="B3" s="2" t="inlineStr">
        <is>
          <t>Jamaica Constabulary Force | Manchester | St. Elizabeth | Clarendon</t>
        </is>
      </c>
    </row>
    <row r="5">
      <c r="B5" s="3" t="inlineStr">
        <is>
          <t>PORTAL NAVIGATION</t>
        </is>
      </c>
    </row>
    <row r="6">
      <c r="B6" s="4" t="inlineStr">
        <is>
          <t xml:space="preserve">  Case_Registry</t>
        </is>
      </c>
      <c r="C6" s="5" t="inlineStr">
        <is>
          <t>Master case file registry and SOP compliance</t>
        </is>
      </c>
    </row>
    <row r="7">
      <c r="B7" s="4" t="inlineStr">
        <is>
          <t xml:space="preserve">  DPP_Pipeline</t>
        </is>
      </c>
      <c r="C7" s="5" t="inlineStr">
        <is>
          <t>DPP submission tracking and rulings</t>
        </is>
      </c>
    </row>
    <row r="8">
      <c r="B8" s="4" t="inlineStr">
        <is>
          <t xml:space="preserve">  SOP_Checklist</t>
        </is>
      </c>
      <c r="C8" s="5" t="inlineStr">
        <is>
          <t>Per-case SOP compliance checklist</t>
        </is>
      </c>
    </row>
    <row r="9">
      <c r="B9" s="4" t="inlineStr">
        <is>
          <t xml:space="preserve">  Witness_Statements</t>
        </is>
      </c>
      <c r="C9" s="5" t="inlineStr">
        <is>
          <t>Witness and statement management</t>
        </is>
      </c>
    </row>
    <row r="10">
      <c r="B10" s="4" t="inlineStr">
        <is>
          <t xml:space="preserve">  Disclosure_Log</t>
        </is>
      </c>
      <c r="C10" s="5" t="inlineStr">
        <is>
          <t>Disclosure protocol compliance</t>
        </is>
      </c>
    </row>
    <row r="11">
      <c r="B11" s="4" t="inlineStr">
        <is>
          <t xml:space="preserve">  Dashboard</t>
        </is>
      </c>
      <c r="C11" s="5" t="inlineStr">
        <is>
          <t>Case management KPIs, pipeline charts, SOP compliance</t>
        </is>
      </c>
    </row>
    <row r="12">
      <c r="B12" s="4" t="inlineStr">
        <is>
          <t xml:space="preserve">  Lookups</t>
        </is>
      </c>
      <c r="C12" s="5" t="inlineStr">
        <is>
          <t>Dropdown reference data</t>
        </is>
      </c>
    </row>
    <row r="14">
      <c r="B14" s="3" t="inlineStr">
        <is>
          <t>SUBMISSION WORKFLOW</t>
        </is>
      </c>
    </row>
    <row r="15">
      <c r="B15" s="5" t="inlineStr">
        <is>
          <t>1. Enter data in the data entry sheet(s)</t>
        </is>
      </c>
    </row>
    <row r="16">
      <c r="B16" s="5" t="inlineStr">
        <is>
          <t>2. Set RecordStatus to 'Draft' while working</t>
        </is>
      </c>
    </row>
    <row r="17">
      <c r="B17" s="5" t="inlineStr">
        <is>
          <t>3. Fill SubmittedBy with your name/badge when ready</t>
        </is>
      </c>
    </row>
    <row r="18">
      <c r="B18" s="5" t="inlineStr">
        <is>
          <t>4. Change RecordStatus to 'Submitted' to finalize</t>
        </is>
      </c>
    </row>
    <row r="19">
      <c r="B19" s="5" t="inlineStr">
        <is>
          <t>5. To edit a submitted record, change status to 'Edited'</t>
        </is>
      </c>
    </row>
    <row r="20">
      <c r="B20" s="5" t="inlineStr">
        <is>
          <t>6. Use the Dashboard sheet to view KPIs and charts</t>
        </is>
      </c>
    </row>
    <row r="22">
      <c r="B22" s="6" t="inlineStr">
        <is>
          <t>Generated: 2026-02-27 06:20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4513"/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4" customWidth="1" min="5" max="5"/>
    <col width="12" customWidth="1" min="6" max="6"/>
    <col width="14" customWidth="1" min="7" max="7"/>
    <col width="14" customWidth="1" min="8" max="8"/>
    <col width="30" customWidth="1" min="9" max="9"/>
    <col width="30" customWidth="1" min="10" max="10"/>
    <col width="20" customWidth="1" min="11" max="11"/>
    <col width="12" customWidth="1" min="12" max="12"/>
    <col width="24" customWidth="1" min="13" max="13"/>
    <col width="16" customWidth="1" min="14" max="14"/>
    <col width="20" customWidth="1" min="15" max="15"/>
    <col width="2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22" customWidth="1" min="22" max="22"/>
    <col width="14" customWidth="1" min="23" max="23"/>
    <col width="22" customWidth="1" min="24" max="24"/>
    <col width="22" customWidth="1" min="25" max="25"/>
    <col width="24" customWidth="1" min="26" max="26"/>
    <col width="14" customWidth="1" min="27" max="27"/>
    <col width="12" customWidth="1" min="28" max="28"/>
    <col width="14" customWidth="1" min="29" max="29"/>
    <col width="20" customWidth="1" min="30" max="30"/>
    <col width="10" customWidth="1" min="31" max="31"/>
    <col width="18" customWidth="1" min="32" max="32"/>
    <col width="14" customWidth="1" min="33" max="33"/>
    <col width="12" customWidth="1" min="34" max="34"/>
    <col width="12" customWidth="1" min="35" max="35"/>
    <col width="30" customWidth="1" min="36" max="36"/>
    <col width="14" customWidth="1" min="37" max="37"/>
    <col width="16" customWidth="1" min="38" max="38"/>
    <col width="14" customWidth="1" min="39" max="39"/>
    <col width="16" customWidth="1" min="40" max="40"/>
    <col width="14" customWidth="1" min="41" max="41"/>
  </cols>
  <sheetData>
    <row r="1">
      <c r="A1" s="7" t="inlineStr">
        <is>
          <t>CaseID</t>
        </is>
      </c>
      <c r="B1" s="7" t="inlineStr">
        <is>
          <t>RegistrationDate</t>
        </is>
      </c>
      <c r="C1" s="7" t="inlineStr">
        <is>
          <t>Classification</t>
        </is>
      </c>
      <c r="D1" s="7" t="inlineStr">
        <is>
          <t>OIC_Name</t>
        </is>
      </c>
      <c r="E1" s="7" t="inlineStr">
        <is>
          <t>OIC_Rank</t>
        </is>
      </c>
      <c r="F1" s="7" t="inlineStr">
        <is>
          <t>OIC_BadgeNo</t>
        </is>
      </c>
      <c r="G1" s="7" t="inlineStr">
        <is>
          <t>Parish</t>
        </is>
      </c>
      <c r="H1" s="7" t="inlineStr">
        <is>
          <t>Division</t>
        </is>
      </c>
      <c r="I1" s="7" t="inlineStr">
        <is>
          <t>OffenceDescription</t>
        </is>
      </c>
      <c r="J1" s="7" t="inlineStr">
        <is>
          <t>LawAndSection</t>
        </is>
      </c>
      <c r="K1" s="7" t="inlineStr">
        <is>
          <t>SuspectName</t>
        </is>
      </c>
      <c r="L1" s="7" t="inlineStr">
        <is>
          <t>SuspectDOB</t>
        </is>
      </c>
      <c r="M1" s="7" t="inlineStr">
        <is>
          <t>SuspectAddress</t>
        </is>
      </c>
      <c r="N1" s="7" t="inlineStr">
        <is>
          <t>SuspectOccupation</t>
        </is>
      </c>
      <c r="O1" s="7" t="inlineStr">
        <is>
          <t>VictimName</t>
        </is>
      </c>
      <c r="P1" s="7" t="inlineStr">
        <is>
          <t>VictimAddress</t>
        </is>
      </c>
      <c r="Q1" s="7" t="inlineStr">
        <is>
          <t>LinkedIntelID</t>
        </is>
      </c>
      <c r="R1" s="7" t="inlineStr">
        <is>
          <t>LinkedOpID</t>
        </is>
      </c>
      <c r="S1" s="7" t="inlineStr">
        <is>
          <t>LinkedArrestID</t>
        </is>
      </c>
      <c r="T1" s="7" t="inlineStr">
        <is>
          <t>CaseStatus</t>
        </is>
      </c>
      <c r="U1" s="7" t="inlineStr">
        <is>
          <t>FileCompleteness</t>
        </is>
      </c>
      <c r="V1" s="7" t="inlineStr">
        <is>
          <t>SOPCompliance</t>
        </is>
      </c>
      <c r="W1" s="7" t="inlineStr">
        <is>
          <t>DPPSubmissionDate</t>
        </is>
      </c>
      <c r="X1" s="7" t="inlineStr">
        <is>
          <t>DPPStatus</t>
        </is>
      </c>
      <c r="Y1" s="7" t="inlineStr">
        <is>
          <t>DPPRuling</t>
        </is>
      </c>
      <c r="Z1" s="7" t="inlineStr">
        <is>
          <t>CourtType</t>
        </is>
      </c>
      <c r="AA1" s="7" t="inlineStr">
        <is>
          <t>NextCourtDate</t>
        </is>
      </c>
      <c r="AB1" s="7" t="inlineStr">
        <is>
          <t>TrialDate</t>
        </is>
      </c>
      <c r="AC1" s="7" t="inlineStr">
        <is>
          <t>Verdict</t>
        </is>
      </c>
      <c r="AD1" s="7" t="inlineStr">
        <is>
          <t>Sentence</t>
        </is>
      </c>
      <c r="AE1" s="7" t="inlineStr">
        <is>
          <t>POCAReferred</t>
        </is>
      </c>
      <c r="AF1" s="7" t="inlineStr">
        <is>
          <t>POCAStatus</t>
        </is>
      </c>
      <c r="AG1" s="7" t="inlineStr">
        <is>
          <t>CreatedBy</t>
        </is>
      </c>
      <c r="AH1" s="7" t="inlineStr">
        <is>
          <t>CreatedDate</t>
        </is>
      </c>
      <c r="AI1" s="7" t="inlineStr">
        <is>
          <t>LastUpdated</t>
        </is>
      </c>
      <c r="AJ1" s="7" t="inlineStr">
        <is>
          <t>Notes</t>
        </is>
      </c>
      <c r="AK1" s="7" t="inlineStr">
        <is>
          <t>RecordStatus</t>
        </is>
      </c>
      <c r="AL1" s="7" t="inlineStr">
        <is>
          <t>SubmittedBy</t>
        </is>
      </c>
      <c r="AM1" s="7" t="inlineStr">
        <is>
          <t>SubmittedDate</t>
        </is>
      </c>
      <c r="AN1" s="7" t="inlineStr">
        <is>
          <t>LastEditedBy</t>
        </is>
      </c>
      <c r="AO1" s="7" t="inlineStr">
        <is>
          <t>LastEditedDate</t>
        </is>
      </c>
    </row>
    <row r="2">
      <c r="A2" s="8" t="inlineStr">
        <is>
          <t>CR-2025-001</t>
        </is>
      </c>
      <c r="B2" s="8" t="inlineStr">
        <is>
          <t>2025-01-20</t>
        </is>
      </c>
      <c r="C2" s="8" t="inlineStr">
        <is>
          <t>Firearms</t>
        </is>
      </c>
      <c r="D2" s="8" t="inlineStr">
        <is>
          <t>DC Williams</t>
        </is>
      </c>
      <c r="E2" s="8" t="inlineStr">
        <is>
          <t>Detective Corporal</t>
        </is>
      </c>
      <c r="F2" s="8" t="inlineStr">
        <is>
          <t>JCF-4455</t>
        </is>
      </c>
      <c r="G2" s="8" t="inlineStr">
        <is>
          <t>Manchester</t>
        </is>
      </c>
      <c r="H2" s="8" t="inlineStr">
        <is>
          <t>Area 3 HQ</t>
        </is>
      </c>
      <c r="I2" s="8" t="inlineStr">
        <is>
          <t>Illegal possession of 2 firearms and ammunition</t>
        </is>
      </c>
      <c r="J2" s="8" t="inlineStr">
        <is>
          <t>s.5 - Possession of Prohibited Weapon (15-25yr)</t>
        </is>
      </c>
      <c r="K2" s="8" t="inlineStr">
        <is>
          <t>John BROWN</t>
        </is>
      </c>
      <c r="L2" s="8" t="inlineStr">
        <is>
          <t>1990-05-12</t>
        </is>
      </c>
      <c r="M2" s="8" t="inlineStr">
        <is>
          <t>15 Main St, Mandeville</t>
        </is>
      </c>
      <c r="N2" s="8" t="inlineStr">
        <is>
          <t>Labourer</t>
        </is>
      </c>
      <c r="O2" s="8" t="inlineStr"/>
      <c r="P2" s="8" t="inlineStr"/>
      <c r="Q2" s="8" t="inlineStr">
        <is>
          <t>INT-2025-001</t>
        </is>
      </c>
      <c r="R2" s="8" t="inlineStr">
        <is>
          <t>OP-2025-001</t>
        </is>
      </c>
      <c r="S2" s="8" t="inlineStr">
        <is>
          <t>AR-2025-001</t>
        </is>
      </c>
      <c r="T2" s="8" t="inlineStr">
        <is>
          <t>Open - Pending Forensics</t>
        </is>
      </c>
      <c r="U2" s="8" t="inlineStr">
        <is>
          <t>Incomplete - Missing Forensics</t>
        </is>
      </c>
      <c r="V2" s="8" t="inlineStr">
        <is>
          <t>Non-Compliant - Missing Forensics</t>
        </is>
      </c>
      <c r="W2" s="8" t="inlineStr"/>
      <c r="X2" s="8" t="inlineStr">
        <is>
          <t>Awaiting Ballistic Certificate</t>
        </is>
      </c>
      <c r="Y2" s="8" t="inlineStr"/>
      <c r="Z2" s="8" t="inlineStr">
        <is>
          <t>Gun Court - High Court Division</t>
        </is>
      </c>
      <c r="AA2" s="8" t="inlineStr">
        <is>
          <t>2025-04-15</t>
        </is>
      </c>
      <c r="AB2" s="8" t="inlineStr"/>
      <c r="AC2" s="8" t="inlineStr"/>
      <c r="AD2" s="8" t="inlineStr"/>
      <c r="AE2" s="8" t="inlineStr">
        <is>
          <t>No</t>
        </is>
      </c>
      <c r="AF2" s="8" t="inlineStr">
        <is>
          <t>Not Applicable</t>
        </is>
      </c>
      <c r="AG2" s="8" t="inlineStr">
        <is>
          <t>DC Williams</t>
        </is>
      </c>
      <c r="AH2" s="8" t="inlineStr">
        <is>
          <t>2025-01-20</t>
        </is>
      </c>
      <c r="AI2" s="8" t="inlineStr">
        <is>
          <t>2025-03-01</t>
        </is>
      </c>
      <c r="AJ2" s="8" t="inlineStr">
        <is>
          <t>Awaiting ballistic cert from IFSLM before DPP submission</t>
        </is>
      </c>
    </row>
    <row r="3">
      <c r="A3" s="8" t="inlineStr">
        <is>
          <t>CR-2025-002</t>
        </is>
      </c>
      <c r="B3" s="8" t="inlineStr">
        <is>
          <t>2025-01-25</t>
        </is>
      </c>
      <c r="C3" s="8" t="inlineStr">
        <is>
          <t>Narcotics</t>
        </is>
      </c>
      <c r="D3" s="8" t="inlineStr">
        <is>
          <t>Supt. Davis</t>
        </is>
      </c>
      <c r="E3" s="8" t="inlineStr">
        <is>
          <t>Superintendent</t>
        </is>
      </c>
      <c r="F3" s="8" t="inlineStr">
        <is>
          <t>JCF-2201</t>
        </is>
      </c>
      <c r="G3" s="8" t="inlineStr">
        <is>
          <t>St. Elizabeth</t>
        </is>
      </c>
      <c r="H3" s="8" t="inlineStr">
        <is>
          <t>Area 3 HQ</t>
        </is>
      </c>
      <c r="I3" s="8" t="inlineStr">
        <is>
          <t>Import of 32kg cocaine via fishing vessel</t>
        </is>
      </c>
      <c r="J3" s="8" t="inlineStr">
        <is>
          <t>Import/Export - Cocaine (DDA Part IV)</t>
        </is>
      </c>
      <c r="K3" s="8" t="inlineStr">
        <is>
          <t>Unknown - vessel crew fled</t>
        </is>
      </c>
      <c r="L3" s="8" t="inlineStr"/>
      <c r="M3" s="8" t="inlineStr"/>
      <c r="N3" s="8" t="inlineStr"/>
      <c r="O3" s="8" t="inlineStr"/>
      <c r="P3" s="8" t="inlineStr"/>
      <c r="Q3" s="8" t="inlineStr">
        <is>
          <t>INT-2025-002</t>
        </is>
      </c>
      <c r="R3" s="8" t="inlineStr">
        <is>
          <t>OP-2025-002</t>
        </is>
      </c>
      <c r="S3" s="8" t="inlineStr"/>
      <c r="T3" s="8" t="inlineStr">
        <is>
          <t>Open - Active Investigation</t>
        </is>
      </c>
      <c r="U3" s="8" t="inlineStr">
        <is>
          <t>Incomplete - Missing Statements</t>
        </is>
      </c>
      <c r="V3" s="8" t="inlineStr">
        <is>
          <t>Non-Compliant - Missing Statements</t>
        </is>
      </c>
      <c r="W3" s="8" t="inlineStr"/>
      <c r="X3" s="8" t="inlineStr">
        <is>
          <t>File Being Prepared</t>
        </is>
      </c>
      <c r="Y3" s="8" t="inlineStr"/>
      <c r="Z3" s="8" t="inlineStr"/>
      <c r="AA3" s="8" t="inlineStr"/>
      <c r="AB3" s="8" t="inlineStr"/>
      <c r="AC3" s="8" t="inlineStr"/>
      <c r="AD3" s="8" t="inlineStr"/>
      <c r="AE3" s="8" t="inlineStr">
        <is>
          <t>Yes</t>
        </is>
      </c>
      <c r="AF3" s="8" t="inlineStr">
        <is>
          <t>Referred to FID</t>
        </is>
      </c>
      <c r="AG3" s="8" t="inlineStr">
        <is>
          <t>Supt. Davis</t>
        </is>
      </c>
      <c r="AH3" s="8" t="inlineStr">
        <is>
          <t>2025-01-25</t>
        </is>
      </c>
      <c r="AI3" s="8" t="inlineStr">
        <is>
          <t>2025-02-15</t>
        </is>
      </c>
      <c r="AJ3" s="8" t="inlineStr">
        <is>
          <t>Vessel crew not yet identified. Coast Guard assisting.</t>
        </is>
      </c>
    </row>
    <row r="4">
      <c r="A4" s="8" t="inlineStr">
        <is>
          <t>CR-2025-003</t>
        </is>
      </c>
      <c r="B4" s="8" t="inlineStr">
        <is>
          <t>2025-03-05</t>
        </is>
      </c>
      <c r="C4" s="8" t="inlineStr">
        <is>
          <t>Firearms + Narcotics</t>
        </is>
      </c>
      <c r="D4" s="8" t="inlineStr">
        <is>
          <t>Supt. Davis</t>
        </is>
      </c>
      <c r="E4" s="8" t="inlineStr">
        <is>
          <t>Superintendent</t>
        </is>
      </c>
      <c r="F4" s="8" t="inlineStr">
        <is>
          <t>JCF-2201</t>
        </is>
      </c>
      <c r="G4" s="8" t="inlineStr">
        <is>
          <t>Manchester</t>
        </is>
      </c>
      <c r="H4" s="8" t="inlineStr">
        <is>
          <t>Area 3 HQ</t>
        </is>
      </c>
      <c r="I4" s="8" t="inlineStr">
        <is>
          <t>Stockpiling 5 firearms, trafficking 2kg cocaine</t>
        </is>
      </c>
      <c r="J4" s="8" t="inlineStr">
        <is>
          <t>s.6 - Stockpiling (3+ weapons / 50+ rounds)</t>
        </is>
      </c>
      <c r="K4" s="8" t="inlineStr">
        <is>
          <t>Devon GRANT</t>
        </is>
      </c>
      <c r="L4" s="8" t="inlineStr">
        <is>
          <t>1985-08-23</t>
        </is>
      </c>
      <c r="M4" s="8" t="inlineStr">
        <is>
          <t>Christiana</t>
        </is>
      </c>
      <c r="N4" s="8" t="inlineStr">
        <is>
          <t>Unemployed</t>
        </is>
      </c>
      <c r="O4" s="8" t="inlineStr"/>
      <c r="P4" s="8" t="inlineStr"/>
      <c r="Q4" s="8" t="inlineStr">
        <is>
          <t>INT-2025-006</t>
        </is>
      </c>
      <c r="R4" s="8" t="inlineStr">
        <is>
          <t>OP-2025-004</t>
        </is>
      </c>
      <c r="S4" s="8" t="inlineStr">
        <is>
          <t>AR-2025-002</t>
        </is>
      </c>
      <c r="T4" s="8" t="inlineStr">
        <is>
          <t>Referred to DPP</t>
        </is>
      </c>
      <c r="U4" s="8" t="inlineStr">
        <is>
          <t>Substantially Complete (&gt;80%)</t>
        </is>
      </c>
      <c r="V4" s="8" t="inlineStr">
        <is>
          <t>Compliant</t>
        </is>
      </c>
      <c r="W4" s="8" t="inlineStr">
        <is>
          <t>2025-03-25</t>
        </is>
      </c>
      <c r="X4" s="8" t="inlineStr">
        <is>
          <t>Crown Counsel Reviewing</t>
        </is>
      </c>
      <c r="Y4" s="8" t="inlineStr"/>
      <c r="Z4" s="8" t="inlineStr">
        <is>
          <t>Gun Court - High Court Division</t>
        </is>
      </c>
      <c r="AA4" s="8" t="inlineStr">
        <is>
          <t>2025-04-20</t>
        </is>
      </c>
      <c r="AB4" s="8" t="inlineStr"/>
      <c r="AC4" s="8" t="inlineStr"/>
      <c r="AD4" s="8" t="inlineStr"/>
      <c r="AE4" s="8" t="inlineStr">
        <is>
          <t>Yes</t>
        </is>
      </c>
      <c r="AF4" s="8" t="inlineStr">
        <is>
          <t>Restraint Order Applied</t>
        </is>
      </c>
      <c r="AG4" s="8" t="inlineStr">
        <is>
          <t>Supt. Davis</t>
        </is>
      </c>
      <c r="AH4" s="8" t="inlineStr">
        <is>
          <t>2025-03-05</t>
        </is>
      </c>
      <c r="AI4" s="8" t="inlineStr">
        <is>
          <t>2025-03-25</t>
        </is>
      </c>
      <c r="AJ4" s="8" t="inlineStr">
        <is>
          <t>Major case - MOCA joint op. DPP file submitted.</t>
        </is>
      </c>
    </row>
    <row r="5">
      <c r="A5" s="8" t="inlineStr">
        <is>
          <t>CR-2025-004</t>
        </is>
      </c>
      <c r="B5" s="8" t="inlineStr">
        <is>
          <t>2025-03-22</t>
        </is>
      </c>
      <c r="C5" s="8" t="inlineStr">
        <is>
          <t>Firearms + Narcotics</t>
        </is>
      </c>
      <c r="D5" s="8" t="inlineStr">
        <is>
          <t>DC Williams</t>
        </is>
      </c>
      <c r="E5" s="8" t="inlineStr">
        <is>
          <t>Detective Corporal</t>
        </is>
      </c>
      <c r="F5" s="8" t="inlineStr">
        <is>
          <t>JCF-4455</t>
        </is>
      </c>
      <c r="G5" s="8" t="inlineStr">
        <is>
          <t>Clarendon</t>
        </is>
      </c>
      <c r="H5" s="8" t="inlineStr">
        <is>
          <t>Area 3 HQ</t>
        </is>
      </c>
      <c r="I5" s="8" t="inlineStr">
        <is>
          <t>Possession of firearm and cocaine during vehicle stop</t>
        </is>
      </c>
      <c r="J5" s="8" t="inlineStr">
        <is>
          <t>s.5 - Possession of Prohibited Weapon (15-25yr)</t>
        </is>
      </c>
      <c r="K5" s="8" t="inlineStr">
        <is>
          <t>Andrew BLAKE</t>
        </is>
      </c>
      <c r="L5" s="8" t="inlineStr">
        <is>
          <t>1988-02-15</t>
        </is>
      </c>
      <c r="M5" s="8" t="inlineStr">
        <is>
          <t>May Pen</t>
        </is>
      </c>
      <c r="N5" s="8" t="inlineStr">
        <is>
          <t>Driver</t>
        </is>
      </c>
      <c r="O5" s="8" t="inlineStr"/>
      <c r="P5" s="8" t="inlineStr"/>
      <c r="Q5" s="8" t="inlineStr">
        <is>
          <t>INT-2025-009</t>
        </is>
      </c>
      <c r="R5" s="8" t="inlineStr">
        <is>
          <t>OP-2025-006</t>
        </is>
      </c>
      <c r="S5" s="8" t="inlineStr">
        <is>
          <t>AR-2025-004</t>
        </is>
      </c>
      <c r="T5" s="8" t="inlineStr">
        <is>
          <t>Open - Pending DPP Submission</t>
        </is>
      </c>
      <c r="U5" s="8" t="inlineStr">
        <is>
          <t>Substantially Complete (&gt;80%)</t>
        </is>
      </c>
      <c r="V5" s="8" t="inlineStr">
        <is>
          <t>Compliant</t>
        </is>
      </c>
      <c r="W5" s="8" t="inlineStr"/>
      <c r="X5" s="8" t="inlineStr">
        <is>
          <t>File Being Prepared</t>
        </is>
      </c>
      <c r="Y5" s="8" t="inlineStr"/>
      <c r="Z5" s="8" t="inlineStr">
        <is>
          <t>Gun Court - RM Division</t>
        </is>
      </c>
      <c r="AA5" s="8" t="inlineStr">
        <is>
          <t>2025-04-05</t>
        </is>
      </c>
      <c r="AB5" s="8" t="inlineStr"/>
      <c r="AC5" s="8" t="inlineStr"/>
      <c r="AD5" s="8" t="inlineStr"/>
      <c r="AE5" s="8" t="inlineStr">
        <is>
          <t>No</t>
        </is>
      </c>
      <c r="AF5" s="8" t="inlineStr">
        <is>
          <t>Not Applicable</t>
        </is>
      </c>
      <c r="AG5" s="8" t="inlineStr">
        <is>
          <t>DC Williams</t>
        </is>
      </c>
      <c r="AH5" s="8" t="inlineStr">
        <is>
          <t>2025-03-22</t>
        </is>
      </c>
      <c r="AI5" s="8" t="inlineStr">
        <is>
          <t>2025-03-30</t>
        </is>
      </c>
      <c r="AJ5" s="8" t="inlineStr">
        <is>
          <t>Straightforward case. Lab cert for cocaine pending.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</row>
  </sheetData>
  <conditionalFormatting sqref="AK2:AK1000">
    <cfRule type="cellIs" priority="1" operator="equal" dxfId="0">
      <formula>"Draft"</formula>
    </cfRule>
    <cfRule type="cellIs" priority="2" operator="equal" dxfId="1">
      <formula>"Submitted"</formula>
    </cfRule>
    <cfRule type="cellIs" priority="3" operator="equal" dxfId="2">
      <formula>"Edited"</formula>
    </cfRule>
  </conditionalFormatting>
  <conditionalFormatting sqref="V2:V25">
    <cfRule type="cellIs" priority="4" operator="equal" dxfId="3">
      <formula>"Compliant"</formula>
    </cfRule>
    <cfRule type="cellIs" priority="5" operator="beginsWith" dxfId="4">
      <formula>"Non-Compliant"</formula>
    </cfRule>
  </conditionalFormatting>
  <conditionalFormatting sqref="U2:U25">
    <cfRule type="cellIs" priority="6" operator="equal" dxfId="3">
      <formula>"Complete"</formula>
    </cfRule>
    <cfRule type="cellIs" priority="7" operator="beginsWith" dxfId="4">
      <formula>"Incomplete"</formula>
    </cfRule>
  </conditionalFormatting>
  <dataValidations count="7">
    <dataValidation sqref="AK2:AK25" showDropDown="0" showInputMessage="0" showErrorMessage="0" allowBlank="1" errorTitle="Invalid" error="Select from dropdown" type="list">
      <formula1>"Draft,Submitted,Edited"</formula1>
    </dataValidation>
    <dataValidation sqref="C2:C500" showDropDown="0" showInputMessage="0" showErrorMessage="0" allowBlank="1" errorTitle="Invalid" error="Select from dropdown" type="list">
      <formula1>Lookups!$F$2:$F$12</formula1>
    </dataValidation>
    <dataValidation sqref="G2:G500" showDropDown="0" showInputMessage="0" showErrorMessage="0" allowBlank="1" errorTitle="Invalid" error="Select from dropdown" type="list">
      <formula1>Lookups!$C$2:$C$20</formula1>
    </dataValidation>
    <dataValidation sqref="T2:T500" showDropDown="0" showInputMessage="0" showErrorMessage="0" allowBlank="1" errorTitle="Invalid" error="Select from dropdown" type="list">
      <formula1>Lookups!$G$2:$G$15</formula1>
    </dataValidation>
    <dataValidation sqref="U2:U500" showDropDown="0" showInputMessage="0" showErrorMessage="0" allowBlank="1" errorTitle="Invalid" error="Select from dropdown" type="list">
      <formula1>Lookups!$K$2:$K$10</formula1>
    </dataValidation>
    <dataValidation sqref="V2:V500" showDropDown="0" showInputMessage="0" showErrorMessage="0" allowBlank="1" errorTitle="Invalid" error="Select from dropdown" type="list">
      <formula1>Lookups!$I$2:$I$10</formula1>
    </dataValidation>
    <dataValidation sqref="X2:X500" showDropDown="0" showInputMessage="0" showErrorMessage="0" allowBlank="1" errorTitle="Invalid" error="Select from dropdown" type="list">
      <formula1>Lookups!$H$2:$H$15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8B4513"/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0" customWidth="1" min="4" max="4"/>
    <col width="30" customWidth="1" min="5" max="5"/>
    <col width="12" customWidth="1" min="6" max="6"/>
    <col width="20" customWidth="1" min="7" max="7"/>
    <col width="22" customWidth="1" min="8" max="8"/>
    <col width="14" customWidth="1" min="9" max="9"/>
    <col width="14" customWidth="1" min="10" max="10"/>
    <col width="12" customWidth="1" min="11" max="11"/>
    <col width="22" customWidth="1" min="12" max="12"/>
    <col width="30" customWidth="1" min="13" max="13"/>
    <col width="14" customWidth="1" min="14" max="14"/>
    <col width="14" customWidth="1" min="15" max="15"/>
    <col width="14" customWidth="1" min="16" max="16"/>
    <col width="28" customWidth="1" min="17" max="17"/>
    <col width="14" customWidth="1" min="18" max="18"/>
    <col width="30" customWidth="1" min="19" max="19"/>
    <col width="14" customWidth="1" min="20" max="20"/>
    <col width="16" customWidth="1" min="21" max="21"/>
    <col width="14" customWidth="1" min="22" max="22"/>
    <col width="16" customWidth="1" min="23" max="23"/>
    <col width="14" customWidth="1" min="24" max="24"/>
  </cols>
  <sheetData>
    <row r="1">
      <c r="A1" s="7" t="inlineStr">
        <is>
          <t>CaseID</t>
        </is>
      </c>
      <c r="B1" s="7" t="inlineStr">
        <is>
          <t>Classification</t>
        </is>
      </c>
      <c r="C1" s="7" t="inlineStr">
        <is>
          <t>OIC_Name</t>
        </is>
      </c>
      <c r="D1" s="7" t="inlineStr">
        <is>
          <t>SuspectName</t>
        </is>
      </c>
      <c r="E1" s="7" t="inlineStr">
        <is>
          <t>OffenceSummary</t>
        </is>
      </c>
      <c r="F1" s="7" t="inlineStr">
        <is>
          <t>DPPFileDate</t>
        </is>
      </c>
      <c r="G1" s="7" t="inlineStr">
        <is>
          <t>CrownCounselAssigned</t>
        </is>
      </c>
      <c r="H1" s="7" t="inlineStr">
        <is>
          <t>DPPStatus</t>
        </is>
      </c>
      <c r="I1" s="7" t="inlineStr">
        <is>
          <t>EvidentialSufficiency</t>
        </is>
      </c>
      <c r="J1" s="7" t="inlineStr">
        <is>
          <t>PublicInterestMet</t>
        </is>
      </c>
      <c r="K1" s="7" t="inlineStr">
        <is>
          <t>RulingDate</t>
        </is>
      </c>
      <c r="L1" s="7" t="inlineStr">
        <is>
          <t>RulingOutcome</t>
        </is>
      </c>
      <c r="M1" s="7" t="inlineStr">
        <is>
          <t>RulingNotes</t>
        </is>
      </c>
      <c r="N1" s="7" t="inlineStr">
        <is>
          <t>VoluntaryBillRequired</t>
        </is>
      </c>
      <c r="O1" s="7" t="inlineStr">
        <is>
          <t>PrelimExamRequired</t>
        </is>
      </c>
      <c r="P1" s="7" t="inlineStr">
        <is>
          <t>ReturnedForInvestigation</t>
        </is>
      </c>
      <c r="Q1" s="7" t="inlineStr">
        <is>
          <t>ReturnReason</t>
        </is>
      </c>
      <c r="R1" s="7" t="inlineStr">
        <is>
          <t>FileResubmissionDate</t>
        </is>
      </c>
      <c r="S1" s="7" t="inlineStr">
        <is>
          <t>Notes</t>
        </is>
      </c>
      <c r="T1" s="7" t="inlineStr">
        <is>
          <t>RecordStatus</t>
        </is>
      </c>
      <c r="U1" s="7" t="inlineStr">
        <is>
          <t>SubmittedBy</t>
        </is>
      </c>
      <c r="V1" s="7" t="inlineStr">
        <is>
          <t>SubmittedDate</t>
        </is>
      </c>
      <c r="W1" s="7" t="inlineStr">
        <is>
          <t>LastEditedBy</t>
        </is>
      </c>
      <c r="X1" s="7" t="inlineStr">
        <is>
          <t>LastEditedDate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</row>
  </sheetData>
  <conditionalFormatting sqref="T2:T1000">
    <cfRule type="cellIs" priority="1" operator="equal" dxfId="0">
      <formula>"Draft"</formula>
    </cfRule>
    <cfRule type="cellIs" priority="2" operator="equal" dxfId="1">
      <formula>"Submitted"</formula>
    </cfRule>
    <cfRule type="cellIs" priority="3" operator="equal" dxfId="2">
      <formula>"Edited"</formula>
    </cfRule>
  </conditionalFormatting>
  <dataValidations count="7">
    <dataValidation sqref="T2:T21" showDropDown="0" showInputMessage="0" showErrorMessage="0" allowBlank="1" errorTitle="Invalid" error="Select from dropdown" type="list">
      <formula1>"Draft,Submitted,Edited"</formula1>
    </dataValidation>
    <dataValidation sqref="H2:H500" showDropDown="0" showInputMessage="0" showErrorMessage="0" allowBlank="1" errorTitle="Invalid" error="Select from dropdown" type="list">
      <formula1>Lookups!$H$2:$H$15</formula1>
    </dataValidation>
    <dataValidation sqref="I2:I500" showDropDown="0" showInputMessage="0" showErrorMessage="0" allowBlank="1" errorTitle="Invalid" error="Select from dropdown" type="list">
      <formula1>Lookups!$D$2:$D$5</formula1>
    </dataValidation>
    <dataValidation sqref="J2:J500" showDropDown="0" showInputMessage="0" showErrorMessage="0" allowBlank="1" errorTitle="Invalid" error="Select from dropdown" type="list">
      <formula1>Lookups!$D$2:$D$5</formula1>
    </dataValidation>
    <dataValidation sqref="N2:N500" showDropDown="0" showInputMessage="0" showErrorMessage="0" allowBlank="1" errorTitle="Invalid" error="Select from dropdown" type="list">
      <formula1>Lookups!$D$2:$D$5</formula1>
    </dataValidation>
    <dataValidation sqref="O2:O500" showDropDown="0" showInputMessage="0" showErrorMessage="0" allowBlank="1" errorTitle="Invalid" error="Select from dropdown" type="list">
      <formula1>Lookups!$D$2:$D$5</formula1>
    </dataValidation>
    <dataValidation sqref="P2:P500" showDropDown="0" showInputMessage="0" showErrorMessage="0" allowBlank="1" errorTitle="Invalid" error="Select from dropdown" type="list">
      <formula1>Lookups!$D$2:$D$5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B4513"/>
    <outlinePr summaryBelow="1" summaryRight="1"/>
    <pageSetUpPr/>
  </sheetPr>
  <dimension ref="A1:A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22" customWidth="1" min="30" max="30"/>
    <col width="30" customWidth="1" min="31" max="31"/>
    <col width="14" customWidth="1" min="32" max="32"/>
    <col width="16" customWidth="1" min="33" max="33"/>
    <col width="14" customWidth="1" min="34" max="34"/>
    <col width="16" customWidth="1" min="35" max="35"/>
    <col width="14" customWidth="1" min="36" max="36"/>
  </cols>
  <sheetData>
    <row r="1">
      <c r="A1" s="7" t="inlineStr">
        <is>
          <t>CaseID</t>
        </is>
      </c>
      <c r="B1" s="7" t="inlineStr">
        <is>
          <t>OIC_Name</t>
        </is>
      </c>
      <c r="C1" s="7" t="inlineStr">
        <is>
          <t>ChecklistDate</t>
        </is>
      </c>
      <c r="D1" s="7" t="inlineStr">
        <is>
          <t>StationDiaryEntry</t>
        </is>
      </c>
      <c r="E1" s="7" t="inlineStr">
        <is>
          <t>CrimeReportFiled</t>
        </is>
      </c>
      <c r="F1" s="7" t="inlineStr">
        <is>
          <t>OffenceRegisterUpdated</t>
        </is>
      </c>
      <c r="G1" s="7" t="inlineStr">
        <is>
          <t>SuspectCautioned</t>
        </is>
      </c>
      <c r="H1" s="7" t="inlineStr">
        <is>
          <t>RightsAdvised</t>
        </is>
      </c>
      <c r="I1" s="7" t="inlineStr">
        <is>
          <t>DetaineeBookEntry</t>
        </is>
      </c>
      <c r="J1" s="7" t="inlineStr">
        <is>
          <t>PropertyBookEntry</t>
        </is>
      </c>
      <c r="K1" s="7" t="inlineStr">
        <is>
          <t>48hrComplianceMet</t>
        </is>
      </c>
      <c r="L1" s="7" t="inlineStr">
        <is>
          <t>ExhibitRegisterUpdated</t>
        </is>
      </c>
      <c r="M1" s="7" t="inlineStr">
        <is>
          <t>ExhibitsPhotographed</t>
        </is>
      </c>
      <c r="N1" s="7" t="inlineStr">
        <is>
          <t>ExhibitsSealed</t>
        </is>
      </c>
      <c r="O1" s="7" t="inlineStr">
        <is>
          <t>ChainOfCustodyStarted</t>
        </is>
      </c>
      <c r="P1" s="7" t="inlineStr">
        <is>
          <t>ForensicSubmissionsMade</t>
        </is>
      </c>
      <c r="Q1" s="7" t="inlineStr">
        <is>
          <t>VictimStatementTaken</t>
        </is>
      </c>
      <c r="R1" s="7" t="inlineStr">
        <is>
          <t>WitnessStatementsTaken</t>
        </is>
      </c>
      <c r="S1" s="7" t="inlineStr">
        <is>
          <t>SuspectStatementCautioned</t>
        </is>
      </c>
      <c r="T1" s="7" t="inlineStr">
        <is>
          <t>OfficerStatements</t>
        </is>
      </c>
      <c r="U1" s="7" t="inlineStr">
        <is>
          <t>ScenePhotographed</t>
        </is>
      </c>
      <c r="V1" s="7" t="inlineStr">
        <is>
          <t>SceneSketchDrawn</t>
        </is>
      </c>
      <c r="W1" s="7" t="inlineStr">
        <is>
          <t>IDParadeRequired</t>
        </is>
      </c>
      <c r="X1" s="7" t="inlineStr">
        <is>
          <t>IDParadeConducted</t>
        </is>
      </c>
      <c r="Y1" s="7" t="inlineStr">
        <is>
          <t>ForensicCertsReceived</t>
        </is>
      </c>
      <c r="Z1" s="7" t="inlineStr">
        <is>
          <t>BallisticCertReceived</t>
        </is>
      </c>
      <c r="AA1" s="7" t="inlineStr">
        <is>
          <t>PostMortemReceived</t>
        </is>
      </c>
      <c r="AB1" s="7" t="inlineStr">
        <is>
          <t>DPPFileComplete</t>
        </is>
      </c>
      <c r="AC1" s="7" t="inlineStr">
        <is>
          <t>DisclosurePackagePrepared</t>
        </is>
      </c>
      <c r="AD1" s="7" t="inlineStr">
        <is>
          <t>OverallCompliance</t>
        </is>
      </c>
      <c r="AE1" s="7" t="inlineStr">
        <is>
          <t>ComplianceNotes</t>
        </is>
      </c>
      <c r="AF1" s="7" t="inlineStr">
        <is>
          <t>RecordStatus</t>
        </is>
      </c>
      <c r="AG1" s="7" t="inlineStr">
        <is>
          <t>SubmittedBy</t>
        </is>
      </c>
      <c r="AH1" s="7" t="inlineStr">
        <is>
          <t>SubmittedDate</t>
        </is>
      </c>
      <c r="AI1" s="7" t="inlineStr">
        <is>
          <t>LastEditedBy</t>
        </is>
      </c>
      <c r="AJ1" s="7" t="inlineStr">
        <is>
          <t>LastEditedDate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</sheetData>
  <conditionalFormatting sqref="AF2:AF1000">
    <cfRule type="cellIs" priority="1" operator="equal" dxfId="0">
      <formula>"Draft"</formula>
    </cfRule>
    <cfRule type="cellIs" priority="2" operator="equal" dxfId="1">
      <formula>"Submitted"</formula>
    </cfRule>
    <cfRule type="cellIs" priority="3" operator="equal" dxfId="2">
      <formula>"Edited"</formula>
    </cfRule>
  </conditionalFormatting>
  <conditionalFormatting sqref="D2:D21">
    <cfRule type="cellIs" priority="4" operator="equal" dxfId="4">
      <formula>"No"</formula>
    </cfRule>
    <cfRule type="cellIs" priority="5" operator="equal" dxfId="3">
      <formula>"Yes"</formula>
    </cfRule>
  </conditionalFormatting>
  <conditionalFormatting sqref="E2:E21">
    <cfRule type="cellIs" priority="6" operator="equal" dxfId="4">
      <formula>"No"</formula>
    </cfRule>
    <cfRule type="cellIs" priority="7" operator="equal" dxfId="3">
      <formula>"Yes"</formula>
    </cfRule>
  </conditionalFormatting>
  <conditionalFormatting sqref="F2:F21">
    <cfRule type="cellIs" priority="8" operator="equal" dxfId="4">
      <formula>"No"</formula>
    </cfRule>
    <cfRule type="cellIs" priority="9" operator="equal" dxfId="3">
      <formula>"Yes"</formula>
    </cfRule>
  </conditionalFormatting>
  <conditionalFormatting sqref="G2:G21">
    <cfRule type="cellIs" priority="10" operator="equal" dxfId="4">
      <formula>"No"</formula>
    </cfRule>
    <cfRule type="cellIs" priority="11" operator="equal" dxfId="3">
      <formula>"Yes"</formula>
    </cfRule>
  </conditionalFormatting>
  <conditionalFormatting sqref="H2:H21">
    <cfRule type="cellIs" priority="12" operator="equal" dxfId="4">
      <formula>"No"</formula>
    </cfRule>
    <cfRule type="cellIs" priority="13" operator="equal" dxfId="3">
      <formula>"Yes"</formula>
    </cfRule>
  </conditionalFormatting>
  <conditionalFormatting sqref="I2:I21">
    <cfRule type="cellIs" priority="14" operator="equal" dxfId="4">
      <formula>"No"</formula>
    </cfRule>
    <cfRule type="cellIs" priority="15" operator="equal" dxfId="3">
      <formula>"Yes"</formula>
    </cfRule>
  </conditionalFormatting>
  <conditionalFormatting sqref="J2:J21">
    <cfRule type="cellIs" priority="16" operator="equal" dxfId="4">
      <formula>"No"</formula>
    </cfRule>
    <cfRule type="cellIs" priority="17" operator="equal" dxfId="3">
      <formula>"Yes"</formula>
    </cfRule>
  </conditionalFormatting>
  <conditionalFormatting sqref="K2:K21">
    <cfRule type="cellIs" priority="18" operator="equal" dxfId="4">
      <formula>"No"</formula>
    </cfRule>
    <cfRule type="cellIs" priority="19" operator="equal" dxfId="3">
      <formula>"Yes"</formula>
    </cfRule>
  </conditionalFormatting>
  <conditionalFormatting sqref="L2:L21">
    <cfRule type="cellIs" priority="20" operator="equal" dxfId="4">
      <formula>"No"</formula>
    </cfRule>
    <cfRule type="cellIs" priority="21" operator="equal" dxfId="3">
      <formula>"Yes"</formula>
    </cfRule>
  </conditionalFormatting>
  <conditionalFormatting sqref="M2:M21">
    <cfRule type="cellIs" priority="22" operator="equal" dxfId="4">
      <formula>"No"</formula>
    </cfRule>
    <cfRule type="cellIs" priority="23" operator="equal" dxfId="3">
      <formula>"Yes"</formula>
    </cfRule>
  </conditionalFormatting>
  <conditionalFormatting sqref="N2:N21">
    <cfRule type="cellIs" priority="24" operator="equal" dxfId="4">
      <formula>"No"</formula>
    </cfRule>
    <cfRule type="cellIs" priority="25" operator="equal" dxfId="3">
      <formula>"Yes"</formula>
    </cfRule>
  </conditionalFormatting>
  <conditionalFormatting sqref="O2:O21">
    <cfRule type="cellIs" priority="26" operator="equal" dxfId="4">
      <formula>"No"</formula>
    </cfRule>
    <cfRule type="cellIs" priority="27" operator="equal" dxfId="3">
      <formula>"Yes"</formula>
    </cfRule>
  </conditionalFormatting>
  <conditionalFormatting sqref="P2:P21">
    <cfRule type="cellIs" priority="28" operator="equal" dxfId="4">
      <formula>"No"</formula>
    </cfRule>
    <cfRule type="cellIs" priority="29" operator="equal" dxfId="3">
      <formula>"Yes"</formula>
    </cfRule>
  </conditionalFormatting>
  <conditionalFormatting sqref="Q2:Q21">
    <cfRule type="cellIs" priority="30" operator="equal" dxfId="4">
      <formula>"No"</formula>
    </cfRule>
    <cfRule type="cellIs" priority="31" operator="equal" dxfId="3">
      <formula>"Yes"</formula>
    </cfRule>
  </conditionalFormatting>
  <conditionalFormatting sqref="R2:R21">
    <cfRule type="cellIs" priority="32" operator="equal" dxfId="4">
      <formula>"No"</formula>
    </cfRule>
    <cfRule type="cellIs" priority="33" operator="equal" dxfId="3">
      <formula>"Yes"</formula>
    </cfRule>
  </conditionalFormatting>
  <conditionalFormatting sqref="S2:S21">
    <cfRule type="cellIs" priority="34" operator="equal" dxfId="4">
      <formula>"No"</formula>
    </cfRule>
    <cfRule type="cellIs" priority="35" operator="equal" dxfId="3">
      <formula>"Yes"</formula>
    </cfRule>
  </conditionalFormatting>
  <conditionalFormatting sqref="T2:T21">
    <cfRule type="cellIs" priority="36" operator="equal" dxfId="4">
      <formula>"No"</formula>
    </cfRule>
    <cfRule type="cellIs" priority="37" operator="equal" dxfId="3">
      <formula>"Yes"</formula>
    </cfRule>
  </conditionalFormatting>
  <conditionalFormatting sqref="U2:U21">
    <cfRule type="cellIs" priority="38" operator="equal" dxfId="4">
      <formula>"No"</formula>
    </cfRule>
    <cfRule type="cellIs" priority="39" operator="equal" dxfId="3">
      <formula>"Yes"</formula>
    </cfRule>
  </conditionalFormatting>
  <conditionalFormatting sqref="V2:V21">
    <cfRule type="cellIs" priority="40" operator="equal" dxfId="4">
      <formula>"No"</formula>
    </cfRule>
    <cfRule type="cellIs" priority="41" operator="equal" dxfId="3">
      <formula>"Yes"</formula>
    </cfRule>
  </conditionalFormatting>
  <conditionalFormatting sqref="W2:W21">
    <cfRule type="cellIs" priority="42" operator="equal" dxfId="4">
      <formula>"No"</formula>
    </cfRule>
    <cfRule type="cellIs" priority="43" operator="equal" dxfId="3">
      <formula>"Yes"</formula>
    </cfRule>
  </conditionalFormatting>
  <conditionalFormatting sqref="X2:X21">
    <cfRule type="cellIs" priority="44" operator="equal" dxfId="4">
      <formula>"No"</formula>
    </cfRule>
    <cfRule type="cellIs" priority="45" operator="equal" dxfId="3">
      <formula>"Yes"</formula>
    </cfRule>
  </conditionalFormatting>
  <conditionalFormatting sqref="Y2:Y21">
    <cfRule type="cellIs" priority="46" operator="equal" dxfId="4">
      <formula>"No"</formula>
    </cfRule>
    <cfRule type="cellIs" priority="47" operator="equal" dxfId="3">
      <formula>"Yes"</formula>
    </cfRule>
  </conditionalFormatting>
  <conditionalFormatting sqref="Z2:Z21">
    <cfRule type="cellIs" priority="48" operator="equal" dxfId="4">
      <formula>"No"</formula>
    </cfRule>
    <cfRule type="cellIs" priority="49" operator="equal" dxfId="3">
      <formula>"Yes"</formula>
    </cfRule>
  </conditionalFormatting>
  <conditionalFormatting sqref="AA2:AA21">
    <cfRule type="cellIs" priority="50" operator="equal" dxfId="4">
      <formula>"No"</formula>
    </cfRule>
    <cfRule type="cellIs" priority="51" operator="equal" dxfId="3">
      <formula>"Yes"</formula>
    </cfRule>
  </conditionalFormatting>
  <conditionalFormatting sqref="AB2:AB21">
    <cfRule type="cellIs" priority="52" operator="equal" dxfId="4">
      <formula>"No"</formula>
    </cfRule>
    <cfRule type="cellIs" priority="53" operator="equal" dxfId="3">
      <formula>"Yes"</formula>
    </cfRule>
  </conditionalFormatting>
  <conditionalFormatting sqref="AC2:AC21">
    <cfRule type="cellIs" priority="54" operator="equal" dxfId="4">
      <formula>"No"</formula>
    </cfRule>
    <cfRule type="cellIs" priority="55" operator="equal" dxfId="3">
      <formula>"Yes"</formula>
    </cfRule>
  </conditionalFormatting>
  <dataValidations count="28">
    <dataValidation sqref="AF2:AF21" showDropDown="0" showInputMessage="0" showErrorMessage="0" allowBlank="1" errorTitle="Invalid" error="Select from dropdown" type="list">
      <formula1>"Draft,Submitted,Edited"</formula1>
    </dataValidation>
    <dataValidation sqref="D2:D500" showDropDown="0" showInputMessage="0" showErrorMessage="0" allowBlank="1" errorTitle="Invalid" error="Select from dropdown" type="list">
      <formula1>Lookups!$D$2:$D$5</formula1>
    </dataValidation>
    <dataValidation sqref="E2:E500" showDropDown="0" showInputMessage="0" showErrorMessage="0" allowBlank="1" errorTitle="Invalid" error="Select from dropdown" type="list">
      <formula1>Lookups!$D$2:$D$5</formula1>
    </dataValidation>
    <dataValidation sqref="F2:F500" showDropDown="0" showInputMessage="0" showErrorMessage="0" allowBlank="1" errorTitle="Invalid" error="Select from dropdown" type="list">
      <formula1>Lookups!$D$2:$D$5</formula1>
    </dataValidation>
    <dataValidation sqref="G2:G500" showDropDown="0" showInputMessage="0" showErrorMessage="0" allowBlank="1" errorTitle="Invalid" error="Select from dropdown" type="list">
      <formula1>Lookups!$D$2:$D$5</formula1>
    </dataValidation>
    <dataValidation sqref="H2:H500" showDropDown="0" showInputMessage="0" showErrorMessage="0" allowBlank="1" errorTitle="Invalid" error="Select from dropdown" type="list">
      <formula1>Lookups!$D$2:$D$5</formula1>
    </dataValidation>
    <dataValidation sqref="I2:I500" showDropDown="0" showInputMessage="0" showErrorMessage="0" allowBlank="1" errorTitle="Invalid" error="Select from dropdown" type="list">
      <formula1>Lookups!$D$2:$D$5</formula1>
    </dataValidation>
    <dataValidation sqref="J2:J500" showDropDown="0" showInputMessage="0" showErrorMessage="0" allowBlank="1" errorTitle="Invalid" error="Select from dropdown" type="list">
      <formula1>Lookups!$D$2:$D$5</formula1>
    </dataValidation>
    <dataValidation sqref="K2:K500" showDropDown="0" showInputMessage="0" showErrorMessage="0" allowBlank="1" errorTitle="Invalid" error="Select from dropdown" type="list">
      <formula1>Lookups!$D$2:$D$5</formula1>
    </dataValidation>
    <dataValidation sqref="L2:L500" showDropDown="0" showInputMessage="0" showErrorMessage="0" allowBlank="1" errorTitle="Invalid" error="Select from dropdown" type="list">
      <formula1>Lookups!$D$2:$D$5</formula1>
    </dataValidation>
    <dataValidation sqref="M2:M500" showDropDown="0" showInputMessage="0" showErrorMessage="0" allowBlank="1" errorTitle="Invalid" error="Select from dropdown" type="list">
      <formula1>Lookups!$D$2:$D$5</formula1>
    </dataValidation>
    <dataValidation sqref="N2:N500" showDropDown="0" showInputMessage="0" showErrorMessage="0" allowBlank="1" errorTitle="Invalid" error="Select from dropdown" type="list">
      <formula1>Lookups!$D$2:$D$5</formula1>
    </dataValidation>
    <dataValidation sqref="O2:O500" showDropDown="0" showInputMessage="0" showErrorMessage="0" allowBlank="1" errorTitle="Invalid" error="Select from dropdown" type="list">
      <formula1>Lookups!$D$2:$D$5</formula1>
    </dataValidation>
    <dataValidation sqref="P2:P500" showDropDown="0" showInputMessage="0" showErrorMessage="0" allowBlank="1" errorTitle="Invalid" error="Select from dropdown" type="list">
      <formula1>Lookups!$D$2:$D$5</formula1>
    </dataValidation>
    <dataValidation sqref="Q2:Q500" showDropDown="0" showInputMessage="0" showErrorMessage="0" allowBlank="1" errorTitle="Invalid" error="Select from dropdown" type="list">
      <formula1>Lookups!$D$2:$D$5</formula1>
    </dataValidation>
    <dataValidation sqref="R2:R500" showDropDown="0" showInputMessage="0" showErrorMessage="0" allowBlank="1" errorTitle="Invalid" error="Select from dropdown" type="list">
      <formula1>Lookups!$D$2:$D$5</formula1>
    </dataValidation>
    <dataValidation sqref="S2:S500" showDropDown="0" showInputMessage="0" showErrorMessage="0" allowBlank="1" errorTitle="Invalid" error="Select from dropdown" type="list">
      <formula1>Lookups!$D$2:$D$5</formula1>
    </dataValidation>
    <dataValidation sqref="T2:T500" showDropDown="0" showInputMessage="0" showErrorMessage="0" allowBlank="1" errorTitle="Invalid" error="Select from dropdown" type="list">
      <formula1>Lookups!$D$2:$D$5</formula1>
    </dataValidation>
    <dataValidation sqref="U2:U500" showDropDown="0" showInputMessage="0" showErrorMessage="0" allowBlank="1" errorTitle="Invalid" error="Select from dropdown" type="list">
      <formula1>Lookups!$D$2:$D$5</formula1>
    </dataValidation>
    <dataValidation sqref="V2:V500" showDropDown="0" showInputMessage="0" showErrorMessage="0" allowBlank="1" errorTitle="Invalid" error="Select from dropdown" type="list">
      <formula1>Lookups!$D$2:$D$5</formula1>
    </dataValidation>
    <dataValidation sqref="W2:W500" showDropDown="0" showInputMessage="0" showErrorMessage="0" allowBlank="1" errorTitle="Invalid" error="Select from dropdown" type="list">
      <formula1>Lookups!$D$2:$D$5</formula1>
    </dataValidation>
    <dataValidation sqref="X2:X500" showDropDown="0" showInputMessage="0" showErrorMessage="0" allowBlank="1" errorTitle="Invalid" error="Select from dropdown" type="list">
      <formula1>Lookups!$D$2:$D$5</formula1>
    </dataValidation>
    <dataValidation sqref="Y2:Y500" showDropDown="0" showInputMessage="0" showErrorMessage="0" allowBlank="1" errorTitle="Invalid" error="Select from dropdown" type="list">
      <formula1>Lookups!$D$2:$D$5</formula1>
    </dataValidation>
    <dataValidation sqref="Z2:Z500" showDropDown="0" showInputMessage="0" showErrorMessage="0" allowBlank="1" errorTitle="Invalid" error="Select from dropdown" type="list">
      <formula1>Lookups!$D$2:$D$5</formula1>
    </dataValidation>
    <dataValidation sqref="AA2:AA500" showDropDown="0" showInputMessage="0" showErrorMessage="0" allowBlank="1" errorTitle="Invalid" error="Select from dropdown" type="list">
      <formula1>Lookups!$D$2:$D$5</formula1>
    </dataValidation>
    <dataValidation sqref="AB2:AB500" showDropDown="0" showInputMessage="0" showErrorMessage="0" allowBlank="1" errorTitle="Invalid" error="Select from dropdown" type="list">
      <formula1>Lookups!$D$2:$D$5</formula1>
    </dataValidation>
    <dataValidation sqref="AC2:AC500" showDropDown="0" showInputMessage="0" showErrorMessage="0" allowBlank="1" errorTitle="Invalid" error="Select from dropdown" type="list">
      <formula1>Lookups!$D$2:$D$5</formula1>
    </dataValidation>
    <dataValidation sqref="AD2:AD500" showDropDown="0" showInputMessage="0" showErrorMessage="0" allowBlank="1" errorTitle="Invalid" error="Select from dropdown" type="list">
      <formula1>Lookups!$I$2:$I$10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B4513"/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6" customWidth="1" min="4" max="4"/>
    <col width="24" customWidth="1" min="5" max="5"/>
    <col width="14" customWidth="1" min="6" max="6"/>
    <col width="20" customWidth="1" min="7" max="7"/>
    <col width="12" customWidth="1" min="8" max="8"/>
    <col width="18" customWidth="1" min="9" max="9"/>
    <col width="10" customWidth="1" min="10" max="10"/>
    <col width="10" customWidth="1" min="11" max="11"/>
    <col width="10" customWidth="1" min="12" max="12"/>
    <col width="12" customWidth="1" min="13" max="13"/>
    <col width="20" customWidth="1" min="14" max="14"/>
    <col width="12" customWidth="1" min="15" max="15"/>
    <col width="28" customWidth="1" min="16" max="16"/>
    <col width="14" customWidth="1" min="17" max="17"/>
    <col width="16" customWidth="1" min="18" max="18"/>
    <col width="14" customWidth="1" min="19" max="19"/>
    <col width="16" customWidth="1" min="20" max="20"/>
    <col width="14" customWidth="1" min="21" max="21"/>
  </cols>
  <sheetData>
    <row r="1">
      <c r="A1" s="7" t="inlineStr">
        <is>
          <t>StatementID</t>
        </is>
      </c>
      <c r="B1" s="7" t="inlineStr">
        <is>
          <t>CaseID</t>
        </is>
      </c>
      <c r="C1" s="7" t="inlineStr">
        <is>
          <t>WitnessName</t>
        </is>
      </c>
      <c r="D1" s="7" t="inlineStr">
        <is>
          <t>WitnessType</t>
        </is>
      </c>
      <c r="E1" s="7" t="inlineStr">
        <is>
          <t>WitnessAddress</t>
        </is>
      </c>
      <c r="F1" s="7" t="inlineStr">
        <is>
          <t>WitnessPhone</t>
        </is>
      </c>
      <c r="G1" s="7" t="inlineStr">
        <is>
          <t>RelationToCase</t>
        </is>
      </c>
      <c r="H1" s="7" t="inlineStr">
        <is>
          <t>StatementDate</t>
        </is>
      </c>
      <c r="I1" s="7" t="inlineStr">
        <is>
          <t>StatementTakenBy</t>
        </is>
      </c>
      <c r="J1" s="7" t="inlineStr">
        <is>
          <t>StatementPages</t>
        </is>
      </c>
      <c r="K1" s="7" t="inlineStr">
        <is>
          <t>StatementSigned</t>
        </is>
      </c>
      <c r="L1" s="7" t="inlineStr">
        <is>
          <t>WitnessWilling</t>
        </is>
      </c>
      <c r="M1" s="7" t="inlineStr">
        <is>
          <t>SpecialMeasuresNeeded</t>
        </is>
      </c>
      <c r="N1" s="7" t="inlineStr">
        <is>
          <t>SpecialMeasuresType</t>
        </is>
      </c>
      <c r="O1" s="7" t="inlineStr">
        <is>
          <t>AvailableForCourt</t>
        </is>
      </c>
      <c r="P1" s="7" t="inlineStr">
        <is>
          <t>Notes</t>
        </is>
      </c>
      <c r="Q1" s="7" t="inlineStr">
        <is>
          <t>RecordStatus</t>
        </is>
      </c>
      <c r="R1" s="7" t="inlineStr">
        <is>
          <t>SubmittedBy</t>
        </is>
      </c>
      <c r="S1" s="7" t="inlineStr">
        <is>
          <t>SubmittedDate</t>
        </is>
      </c>
      <c r="T1" s="7" t="inlineStr">
        <is>
          <t>LastEditedBy</t>
        </is>
      </c>
      <c r="U1" s="7" t="inlineStr">
        <is>
          <t>LastEditedDate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</sheetData>
  <conditionalFormatting sqref="Q2:Q1000">
    <cfRule type="cellIs" priority="1" operator="equal" dxfId="0">
      <formula>"Draft"</formula>
    </cfRule>
    <cfRule type="cellIs" priority="2" operator="equal" dxfId="1">
      <formula>"Submitted"</formula>
    </cfRule>
    <cfRule type="cellIs" priority="3" operator="equal" dxfId="2">
      <formula>"Edited"</formula>
    </cfRule>
  </conditionalFormatting>
  <dataValidations count="1">
    <dataValidation sqref="Q2:Q21" showDropDown="0" showInputMessage="0" showErrorMessage="0" allowBlank="1" errorTitle="Invalid" error="Select from dropdown" type="list">
      <formula1>"Draft,Submitted,Edited"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8B4513"/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30" customWidth="1" min="5" max="5"/>
    <col width="10" customWidth="1" min="6" max="6"/>
    <col width="20" customWidth="1" min="7" max="7"/>
    <col width="14" customWidth="1" min="8" max="8"/>
    <col width="12" customWidth="1" min="9" max="9"/>
    <col width="12" customWidth="1" min="10" max="10"/>
    <col width="10" customWidth="1" min="11" max="11"/>
    <col width="16" customWidth="1" min="12" max="12"/>
    <col width="12" customWidth="1" min="13" max="13"/>
    <col width="12" customWidth="1" min="14" max="14"/>
    <col width="18" customWidth="1" min="15" max="15"/>
    <col width="16" customWidth="1" min="16" max="16"/>
    <col width="28" customWidth="1" min="17" max="17"/>
    <col width="14" customWidth="1" min="18" max="18"/>
    <col width="16" customWidth="1" min="19" max="19"/>
    <col width="14" customWidth="1" min="20" max="20"/>
    <col width="16" customWidth="1" min="21" max="21"/>
    <col width="14" customWidth="1" min="22" max="22"/>
  </cols>
  <sheetData>
    <row r="1">
      <c r="A1" s="7" t="inlineStr">
        <is>
          <t>DisclosureID</t>
        </is>
      </c>
      <c r="B1" s="7" t="inlineStr">
        <is>
          <t>CaseID</t>
        </is>
      </c>
      <c r="C1" s="7" t="inlineStr">
        <is>
          <t>DisclosureDate</t>
        </is>
      </c>
      <c r="D1" s="7" t="inlineStr">
        <is>
          <t>DisclosureType</t>
        </is>
      </c>
      <c r="E1" s="7" t="inlineStr">
        <is>
          <t>MaterialDisclosed</t>
        </is>
      </c>
      <c r="F1" s="7" t="inlineStr">
        <is>
          <t>ServedOnDefence</t>
        </is>
      </c>
      <c r="G1" s="7" t="inlineStr">
        <is>
          <t>DefenceSolicitor</t>
        </is>
      </c>
      <c r="H1" s="7" t="inlineStr">
        <is>
          <t>ServiceMethod</t>
        </is>
      </c>
      <c r="I1" s="7" t="inlineStr">
        <is>
          <t>ServiceDate</t>
        </is>
      </c>
      <c r="J1" s="7" t="inlineStr">
        <is>
          <t>AcknowledgementReceived</t>
        </is>
      </c>
      <c r="K1" s="7" t="inlineStr">
        <is>
          <t>PIIApplicationMade</t>
        </is>
      </c>
      <c r="L1" s="7" t="inlineStr">
        <is>
          <t>PIIOutcome</t>
        </is>
      </c>
      <c r="M1" s="7" t="inlineStr">
        <is>
          <t>SupplementaryDisclosureNeeded</t>
        </is>
      </c>
      <c r="N1" s="7" t="inlineStr">
        <is>
          <t>SupplementaryDate</t>
        </is>
      </c>
      <c r="O1" s="7" t="inlineStr">
        <is>
          <t>DisclosureStatus</t>
        </is>
      </c>
      <c r="P1" s="7" t="inlineStr">
        <is>
          <t>PreparedBy</t>
        </is>
      </c>
      <c r="Q1" s="7" t="inlineStr">
        <is>
          <t>Notes</t>
        </is>
      </c>
      <c r="R1" s="7" t="inlineStr">
        <is>
          <t>RecordStatus</t>
        </is>
      </c>
      <c r="S1" s="7" t="inlineStr">
        <is>
          <t>SubmittedBy</t>
        </is>
      </c>
      <c r="T1" s="7" t="inlineStr">
        <is>
          <t>SubmittedDate</t>
        </is>
      </c>
      <c r="U1" s="7" t="inlineStr">
        <is>
          <t>LastEditedBy</t>
        </is>
      </c>
      <c r="V1" s="7" t="inlineStr">
        <is>
          <t>LastEditedDate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</row>
  </sheetData>
  <conditionalFormatting sqref="R2:R1000">
    <cfRule type="cellIs" priority="1" operator="equal" dxfId="0">
      <formula>"Draft"</formula>
    </cfRule>
    <cfRule type="cellIs" priority="2" operator="equal" dxfId="1">
      <formula>"Submitted"</formula>
    </cfRule>
    <cfRule type="cellIs" priority="3" operator="equal" dxfId="2">
      <formula>"Edited"</formula>
    </cfRule>
  </conditionalFormatting>
  <dataValidations count="2">
    <dataValidation sqref="R2:R21" showDropDown="0" showInputMessage="0" showErrorMessage="0" allowBlank="1" errorTitle="Invalid" error="Select from dropdown" type="list">
      <formula1>"Draft,Submitted,Edited"</formula1>
    </dataValidation>
    <dataValidation sqref="O2:O500" showDropDown="0" showInputMessage="0" showErrorMessage="0" allowBlank="1" errorTitle="Invalid" error="Select from dropdown" type="list">
      <formula1>Lookups!$J$2:$J$10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8B4513"/>
    <outlinePr summaryBelow="1" summaryRight="1"/>
    <pageSetUpPr/>
  </sheetPr>
  <dimension ref="B2:L45"/>
  <sheetViews>
    <sheetView showGridLines="0" workbookViewId="0">
      <selection activeCell="A1" sqref="A1"/>
    </sheetView>
  </sheetViews>
  <sheetFormatPr baseColWidth="8" defaultRowHeight="15"/>
  <sheetData>
    <row r="2">
      <c r="B2" s="9" t="inlineStr">
        <is>
          <t>REGISTRY UNIT DASHBOARD - Case Management &amp; SOP Compliance</t>
        </is>
      </c>
    </row>
    <row r="3">
      <c r="B3" s="10" t="inlineStr">
        <is>
          <t>Per DPP Prosecution Protocol (2012) &amp; Disclosure Protocol (2013)</t>
        </is>
      </c>
    </row>
    <row r="5">
      <c r="B5" s="11">
        <f>COUNTA(Case_Registry!A2:A25)</f>
        <v/>
      </c>
      <c r="C5" s="12" t="n"/>
      <c r="E5" s="11">
        <f>COUNTIF(Case_Registry!V2:V25,"Compliant")</f>
        <v/>
      </c>
      <c r="F5" s="12" t="n"/>
      <c r="H5" s="11">
        <f>COUNTIF(Case_Registry!U2:U25,"Complete")</f>
        <v/>
      </c>
      <c r="I5" s="12" t="n"/>
      <c r="K5" s="11">
        <f>COUNTIF(Case_Registry!T2:T25,"Referred to DPP")</f>
        <v/>
      </c>
      <c r="L5" s="12" t="n"/>
    </row>
    <row r="6">
      <c r="B6" s="13" t="inlineStr">
        <is>
          <t>Total Cases</t>
        </is>
      </c>
      <c r="C6" s="12" t="n"/>
      <c r="E6" s="13" t="inlineStr">
        <is>
          <t>SOP Compliant</t>
        </is>
      </c>
      <c r="F6" s="12" t="n"/>
      <c r="H6" s="13" t="inlineStr">
        <is>
          <t>Files Complete</t>
        </is>
      </c>
      <c r="I6" s="12" t="n"/>
      <c r="K6" s="13" t="inlineStr">
        <is>
          <t>At DPP</t>
        </is>
      </c>
      <c r="L6" s="12" t="n"/>
    </row>
    <row r="9">
      <c r="B9" s="4" t="inlineStr">
        <is>
          <t>Case Status</t>
        </is>
      </c>
      <c r="C9" s="4" t="inlineStr">
        <is>
          <t>Count</t>
        </is>
      </c>
    </row>
    <row r="10">
      <c r="B10" s="5" t="inlineStr">
        <is>
          <t>Open - Active Investigation</t>
        </is>
      </c>
      <c r="C10" s="5">
        <f>COUNTIF(Case_Registry!T2:T25,B10)</f>
        <v/>
      </c>
    </row>
    <row r="11">
      <c r="B11" s="5" t="inlineStr">
        <is>
          <t>Open - Pending Forensics</t>
        </is>
      </c>
      <c r="C11" s="5">
        <f>COUNTIF(Case_Registry!T2:T25,B11)</f>
        <v/>
      </c>
    </row>
    <row r="12">
      <c r="B12" s="5" t="inlineStr">
        <is>
          <t>Open - Pending DPP Submission</t>
        </is>
      </c>
      <c r="C12" s="5">
        <f>COUNTIF(Case_Registry!T2:T25,B12)</f>
        <v/>
      </c>
    </row>
    <row r="13">
      <c r="B13" s="5" t="inlineStr">
        <is>
          <t>Referred to DPP</t>
        </is>
      </c>
      <c r="C13" s="5">
        <f>COUNTIF(Case_Registry!T2:T25,B13)</f>
        <v/>
      </c>
    </row>
    <row r="14">
      <c r="B14" s="5" t="inlineStr">
        <is>
          <t>Closed - Convicted</t>
        </is>
      </c>
      <c r="C14" s="5">
        <f>COUNTIF(Case_Registry!T2:T25,B14)</f>
        <v/>
      </c>
    </row>
    <row r="15">
      <c r="B15" s="5" t="inlineStr">
        <is>
          <t>Closed - Acquitted</t>
        </is>
      </c>
      <c r="C15" s="5">
        <f>COUNTIF(Case_Registry!T2:T25,B15)</f>
        <v/>
      </c>
    </row>
    <row r="16">
      <c r="B16" s="5" t="inlineStr">
        <is>
          <t>Closed - No Charge</t>
        </is>
      </c>
      <c r="C16" s="5">
        <f>COUNTIF(Case_Registry!T2:T25,B16)</f>
        <v/>
      </c>
    </row>
    <row r="19">
      <c r="B19" s="4" t="inlineStr">
        <is>
          <t>DPP Status</t>
        </is>
      </c>
      <c r="C19" s="4" t="inlineStr">
        <is>
          <t>Count</t>
        </is>
      </c>
    </row>
    <row r="20">
      <c r="B20" s="5" t="inlineStr">
        <is>
          <t>File Being Prepared</t>
        </is>
      </c>
      <c r="C20" s="5">
        <f>COUNTIF(Case_Registry!X2:X25,B20)</f>
        <v/>
      </c>
    </row>
    <row r="21">
      <c r="B21" s="5" t="inlineStr">
        <is>
          <t>File Submitted to DPP</t>
        </is>
      </c>
      <c r="C21" s="5">
        <f>COUNTIF(Case_Registry!X2:X25,B21)</f>
        <v/>
      </c>
    </row>
    <row r="22">
      <c r="B22" s="5" t="inlineStr">
        <is>
          <t>Crown Counsel Reviewing</t>
        </is>
      </c>
      <c r="C22" s="5">
        <f>COUNTIF(Case_Registry!X2:X25,B22)</f>
        <v/>
      </c>
    </row>
    <row r="23">
      <c r="B23" s="5" t="inlineStr">
        <is>
          <t>Ruling - Charge Approved</t>
        </is>
      </c>
      <c r="C23" s="5">
        <f>COUNTIF(Case_Registry!X2:X25,B23)</f>
        <v/>
      </c>
    </row>
    <row r="24">
      <c r="B24" s="5" t="inlineStr">
        <is>
          <t>Ruling - No Charge</t>
        </is>
      </c>
      <c r="C24" s="5">
        <f>COUNTIF(Case_Registry!X2:X25,B24)</f>
        <v/>
      </c>
    </row>
    <row r="25">
      <c r="B25" s="5" t="inlineStr">
        <is>
          <t>Returned for Further Investigation</t>
        </is>
      </c>
      <c r="C25" s="5">
        <f>COUNTIF(Case_Registry!X2:X25,B25)</f>
        <v/>
      </c>
    </row>
    <row r="26">
      <c r="B26" s="5" t="inlineStr">
        <is>
          <t>Awaiting Forensic Certificate</t>
        </is>
      </c>
      <c r="C26" s="5">
        <f>COUNTIF(Case_Registry!X2:X25,B26)</f>
        <v/>
      </c>
    </row>
    <row r="27">
      <c r="B27" s="5" t="inlineStr">
        <is>
          <t>Awaiting Ballistic Certificate</t>
        </is>
      </c>
      <c r="C27" s="5">
        <f>COUNTIF(Case_Registry!X2:X25,B27)</f>
        <v/>
      </c>
    </row>
    <row r="30">
      <c r="B30" s="4" t="inlineStr">
        <is>
          <t>SOP Compliance</t>
        </is>
      </c>
      <c r="C30" s="4" t="inlineStr">
        <is>
          <t>Count</t>
        </is>
      </c>
    </row>
    <row r="31">
      <c r="B31" s="5" t="inlineStr">
        <is>
          <t>Compliant</t>
        </is>
      </c>
      <c r="C31" s="5">
        <f>COUNTIF(Case_Registry!V2:V25,B31)</f>
        <v/>
      </c>
    </row>
    <row r="32">
      <c r="B32" s="5" t="inlineStr">
        <is>
          <t>Non-Compliant - Missing Statements</t>
        </is>
      </c>
      <c r="C32" s="5">
        <f>COUNTIF(Case_Registry!V2:V25,B32)</f>
        <v/>
      </c>
    </row>
    <row r="33">
      <c r="B33" s="5" t="inlineStr">
        <is>
          <t>Non-Compliant - Missing Forensics</t>
        </is>
      </c>
      <c r="C33" s="5">
        <f>COUNTIF(Case_Registry!V2:V25,B33)</f>
        <v/>
      </c>
    </row>
    <row r="34">
      <c r="B34" s="5" t="inlineStr">
        <is>
          <t>Non-Compliant - Missing Exhibit Register</t>
        </is>
      </c>
      <c r="C34" s="5">
        <f>COUNTIF(Case_Registry!V2:V25,B34)</f>
        <v/>
      </c>
    </row>
    <row r="35">
      <c r="B35" s="5" t="inlineStr">
        <is>
          <t>Non-Compliant - Overdue DPP Submission</t>
        </is>
      </c>
      <c r="C35" s="5">
        <f>COUNTIF(Case_Registry!V2:V25,B35)</f>
        <v/>
      </c>
    </row>
    <row r="36">
      <c r="B36" s="5" t="inlineStr">
        <is>
          <t>Under Review</t>
        </is>
      </c>
      <c r="C36" s="5">
        <f>COUNTIF(Case_Registry!V2:V25,B36)</f>
        <v/>
      </c>
    </row>
    <row r="39">
      <c r="B39" s="4" t="inlineStr">
        <is>
          <t>Classification</t>
        </is>
      </c>
      <c r="C39" s="4" t="inlineStr">
        <is>
          <t>Count</t>
        </is>
      </c>
    </row>
    <row r="40">
      <c r="B40" s="5" t="inlineStr">
        <is>
          <t>Firearms</t>
        </is>
      </c>
      <c r="C40" s="5">
        <f>COUNTIF(Case_Registry!C2:C25,B40)</f>
        <v/>
      </c>
    </row>
    <row r="41">
      <c r="B41" s="5" t="inlineStr">
        <is>
          <t>Narcotics</t>
        </is>
      </c>
      <c r="C41" s="5">
        <f>COUNTIF(Case_Registry!C2:C25,B41)</f>
        <v/>
      </c>
    </row>
    <row r="42">
      <c r="B42" s="5" t="inlineStr">
        <is>
          <t>Firearms + Narcotics</t>
        </is>
      </c>
      <c r="C42" s="5">
        <f>COUNTIF(Case_Registry!C2:C25,B42)</f>
        <v/>
      </c>
    </row>
    <row r="43">
      <c r="B43" s="5" t="inlineStr">
        <is>
          <t>Trafficking - Firearms</t>
        </is>
      </c>
      <c r="C43" s="5">
        <f>COUNTIF(Case_Registry!C2:C25,B43)</f>
        <v/>
      </c>
    </row>
    <row r="44">
      <c r="B44" s="5" t="inlineStr">
        <is>
          <t>Trafficking - Narcotics</t>
        </is>
      </c>
      <c r="C44" s="5">
        <f>COUNTIF(Case_Registry!C2:C25,B44)</f>
        <v/>
      </c>
    </row>
    <row r="45">
      <c r="B45" s="5" t="inlineStr">
        <is>
          <t>POCA / Financial</t>
        </is>
      </c>
      <c r="C45" s="5">
        <f>COUNTIF(Case_Registry!C2:C25,B45)</f>
        <v/>
      </c>
    </row>
  </sheetData>
  <mergeCells count="10">
    <mergeCell ref="B6:C6"/>
    <mergeCell ref="E6:F6"/>
    <mergeCell ref="H6:I6"/>
    <mergeCell ref="B5:C5"/>
    <mergeCell ref="B3:L3"/>
    <mergeCell ref="B2:L2"/>
    <mergeCell ref="E5:F5"/>
    <mergeCell ref="K5:L5"/>
    <mergeCell ref="H5:I5"/>
    <mergeCell ref="K6:L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8B4513"/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4" t="inlineStr">
        <is>
          <t>IntelSource</t>
        </is>
      </c>
      <c r="B1" s="14" t="inlineStr">
        <is>
          <t>Priority</t>
        </is>
      </c>
      <c r="C1" s="14" t="inlineStr">
        <is>
          <t>Parish</t>
        </is>
      </c>
      <c r="D1" s="14" t="inlineStr">
        <is>
          <t>YesNo</t>
        </is>
      </c>
      <c r="E1" s="14" t="inlineStr">
        <is>
          <t>RecordStatus</t>
        </is>
      </c>
      <c r="F1" s="14" t="inlineStr">
        <is>
          <t>CaseClassification</t>
        </is>
      </c>
      <c r="G1" s="14" t="inlineStr">
        <is>
          <t>CaseStatus</t>
        </is>
      </c>
      <c r="H1" s="14" t="inlineStr">
        <is>
          <t>DPPStatus</t>
        </is>
      </c>
      <c r="I1" s="14" t="inlineStr">
        <is>
          <t>SOPCompliance</t>
        </is>
      </c>
      <c r="J1" s="14" t="inlineStr">
        <is>
          <t>DisclosureStatus</t>
        </is>
      </c>
      <c r="K1" s="14" t="inlineStr">
        <is>
          <t>FileCompleteness</t>
        </is>
      </c>
    </row>
    <row r="2">
      <c r="A2" t="inlineStr">
        <is>
          <t>Crime Stop (311)</t>
        </is>
      </c>
      <c r="B2" t="inlineStr">
        <is>
          <t>Critical</t>
        </is>
      </c>
      <c r="C2" t="inlineStr">
        <is>
          <t>Manchester</t>
        </is>
      </c>
      <c r="D2" t="inlineStr">
        <is>
          <t>Yes</t>
        </is>
      </c>
      <c r="E2" t="inlineStr">
        <is>
          <t>Draft</t>
        </is>
      </c>
      <c r="F2" t="inlineStr">
        <is>
          <t>Firearms</t>
        </is>
      </c>
      <c r="G2" t="inlineStr">
        <is>
          <t>Open - Active Investigation</t>
        </is>
      </c>
      <c r="H2" t="inlineStr">
        <is>
          <t>File Being Prepared</t>
        </is>
      </c>
      <c r="I2" t="inlineStr">
        <is>
          <t>Compliant</t>
        </is>
      </c>
      <c r="J2" t="inlineStr">
        <is>
          <t>Not Required Yet</t>
        </is>
      </c>
      <c r="K2" t="inlineStr">
        <is>
          <t>Complete</t>
        </is>
      </c>
    </row>
    <row r="3">
      <c r="A3" t="inlineStr">
        <is>
          <t>NIB (811)</t>
        </is>
      </c>
      <c r="B3" t="inlineStr">
        <is>
          <t>High</t>
        </is>
      </c>
      <c r="C3" t="inlineStr">
        <is>
          <t>St. Elizabeth</t>
        </is>
      </c>
      <c r="D3" t="inlineStr">
        <is>
          <t>No</t>
        </is>
      </c>
      <c r="E3" t="inlineStr">
        <is>
          <t>Submitted</t>
        </is>
      </c>
      <c r="F3" t="inlineStr">
        <is>
          <t>Narcotics</t>
        </is>
      </c>
      <c r="G3" t="inlineStr">
        <is>
          <t>Open - Pending Forensics</t>
        </is>
      </c>
      <c r="H3" t="inlineStr">
        <is>
          <t>File Submitted to DPP</t>
        </is>
      </c>
      <c r="I3" t="inlineStr">
        <is>
          <t>Non-Compliant - Missing Statements</t>
        </is>
      </c>
      <c r="J3" t="inlineStr">
        <is>
          <t>Disclosure Package Prepared</t>
        </is>
      </c>
      <c r="K3" t="inlineStr">
        <is>
          <t>Substantially Complete (&gt;80%)</t>
        </is>
      </c>
    </row>
    <row r="4">
      <c r="A4" t="inlineStr">
        <is>
          <t>Informant</t>
        </is>
      </c>
      <c r="B4" t="inlineStr">
        <is>
          <t>Medium</t>
        </is>
      </c>
      <c r="C4" t="inlineStr">
        <is>
          <t>Clarendon</t>
        </is>
      </c>
      <c r="E4" t="inlineStr">
        <is>
          <t>Edited</t>
        </is>
      </c>
      <c r="F4" t="inlineStr">
        <is>
          <t>Firearms + Narcotics</t>
        </is>
      </c>
      <c r="G4" t="inlineStr">
        <is>
          <t>Open - Pending Witness Statements</t>
        </is>
      </c>
      <c r="H4" t="inlineStr">
        <is>
          <t>Awaiting Forensic Certificate</t>
        </is>
      </c>
      <c r="I4" t="inlineStr">
        <is>
          <t>Non-Compliant - Missing Forensics</t>
        </is>
      </c>
      <c r="J4" t="inlineStr">
        <is>
          <t>Served on Defence</t>
        </is>
      </c>
      <c r="K4" t="inlineStr">
        <is>
          <t>Incomplete - Missing Key Documents</t>
        </is>
      </c>
    </row>
    <row r="5">
      <c r="A5" t="inlineStr">
        <is>
          <t>DEA</t>
        </is>
      </c>
      <c r="B5" t="inlineStr">
        <is>
          <t>Low</t>
        </is>
      </c>
      <c r="C5" t="inlineStr">
        <is>
          <t>Kingston</t>
        </is>
      </c>
      <c r="F5" t="inlineStr">
        <is>
          <t>Trafficking - Firearms</t>
        </is>
      </c>
      <c r="G5" t="inlineStr">
        <is>
          <t>Open - Surveillance</t>
        </is>
      </c>
      <c r="H5" t="inlineStr">
        <is>
          <t>Awaiting Ballistic Certificate</t>
        </is>
      </c>
      <c r="I5" t="inlineStr">
        <is>
          <t>Non-Compliant - Missing Exhibit Register</t>
        </is>
      </c>
      <c r="J5" t="inlineStr">
        <is>
          <t>Partial Disclosure (PII applied)</t>
        </is>
      </c>
      <c r="K5" t="inlineStr">
        <is>
          <t>Incomplete - Missing Forensics</t>
        </is>
      </c>
    </row>
    <row r="6">
      <c r="A6" t="inlineStr">
        <is>
          <t>ATF</t>
        </is>
      </c>
      <c r="C6" t="inlineStr">
        <is>
          <t>St. Andrew</t>
        </is>
      </c>
      <c r="F6" t="inlineStr">
        <is>
          <t>Trafficking - Narcotics</t>
        </is>
      </c>
      <c r="G6" t="inlineStr">
        <is>
          <t>Open - Pending DPP Submission</t>
        </is>
      </c>
      <c r="H6" t="inlineStr">
        <is>
          <t>Crown Counsel Reviewing</t>
        </is>
      </c>
      <c r="I6" t="inlineStr">
        <is>
          <t>Non-Compliant - Overdue DPP Submission</t>
        </is>
      </c>
      <c r="J6" t="inlineStr">
        <is>
          <t>Supplementary Disclosure Pending</t>
        </is>
      </c>
      <c r="K6" t="inlineStr">
        <is>
          <t>Incomplete - Missing Statements</t>
        </is>
      </c>
    </row>
    <row r="7">
      <c r="A7" t="inlineStr">
        <is>
          <t>HSI</t>
        </is>
      </c>
      <c r="C7" t="inlineStr">
        <is>
          <t>St. Thomas</t>
        </is>
      </c>
      <c r="F7" t="inlineStr">
        <is>
          <t>Trafficking - Multi-Commodity</t>
        </is>
      </c>
      <c r="G7" t="inlineStr">
        <is>
          <t>Referred to DPP</t>
        </is>
      </c>
      <c r="H7" t="inlineStr">
        <is>
          <t>Ruling - Charge Approved</t>
        </is>
      </c>
      <c r="I7" t="inlineStr">
        <is>
          <t>Non-Compliant - 48hr Breach</t>
        </is>
      </c>
      <c r="J7" t="inlineStr">
        <is>
          <t>Complete</t>
        </is>
      </c>
      <c r="K7" t="inlineStr">
        <is>
          <t>Not Started</t>
        </is>
      </c>
    </row>
    <row r="8">
      <c r="A8" t="inlineStr">
        <is>
          <t>MOCA</t>
        </is>
      </c>
      <c r="C8" t="inlineStr">
        <is>
          <t>Portland</t>
        </is>
      </c>
      <c r="F8" t="inlineStr">
        <is>
          <t>POCA / Financial</t>
        </is>
      </c>
      <c r="G8" t="inlineStr">
        <is>
          <t>Closed - Convicted</t>
        </is>
      </c>
      <c r="H8" t="inlineStr">
        <is>
          <t>Ruling - No Charge</t>
        </is>
      </c>
      <c r="I8" t="inlineStr">
        <is>
          <t>Under Review</t>
        </is>
      </c>
    </row>
    <row r="9">
      <c r="A9" t="inlineStr">
        <is>
          <t>JCA Detection</t>
        </is>
      </c>
      <c r="C9" t="inlineStr">
        <is>
          <t>St. Mary</t>
        </is>
      </c>
      <c r="F9" t="inlineStr">
        <is>
          <t>Murder with Firearm</t>
        </is>
      </c>
      <c r="G9" t="inlineStr">
        <is>
          <t>Closed - Acquitted</t>
        </is>
      </c>
      <c r="H9" t="inlineStr">
        <is>
          <t>Voluntary Bill of Indictment</t>
        </is>
      </c>
    </row>
    <row r="10">
      <c r="A10" t="inlineStr">
        <is>
          <t>Divisional CIB</t>
        </is>
      </c>
      <c r="C10" t="inlineStr">
        <is>
          <t>St. Ann</t>
        </is>
      </c>
      <c r="F10" t="inlineStr">
        <is>
          <t>Shooting with Intent</t>
        </is>
      </c>
      <c r="G10" t="inlineStr">
        <is>
          <t>Closed - No Charge</t>
        </is>
      </c>
      <c r="H10" t="inlineStr">
        <is>
          <t>Preliminary Exam Ordered</t>
        </is>
      </c>
    </row>
    <row r="11">
      <c r="A11" t="inlineStr">
        <is>
          <t>Patrol Intercept</t>
        </is>
      </c>
      <c r="C11" t="inlineStr">
        <is>
          <t>Trelawny</t>
        </is>
      </c>
      <c r="G11" t="inlineStr">
        <is>
          <t>Closed - Withdrawn</t>
        </is>
      </c>
      <c r="H11" t="inlineStr">
        <is>
          <t>Returned for Further Investigation</t>
        </is>
      </c>
    </row>
    <row r="12">
      <c r="A12" t="inlineStr">
        <is>
          <t>C-TOC/SIB</t>
        </is>
      </c>
      <c r="C12" t="inlineStr">
        <is>
          <t>St. James</t>
        </is>
      </c>
      <c r="G12" t="inlineStr">
        <is>
          <t>Cold Case - Under Review</t>
        </is>
      </c>
    </row>
    <row r="13">
      <c r="A13" t="inlineStr">
        <is>
          <t>INTERPOL</t>
        </is>
      </c>
      <c r="C13" t="inlineStr">
        <is>
          <t>Hanover</t>
        </is>
      </c>
      <c r="G13" t="inlineStr">
        <is>
          <t>Cold Case - Dormant</t>
        </is>
      </c>
    </row>
    <row r="14">
      <c r="A14" t="inlineStr">
        <is>
          <t>Walk-In Report</t>
        </is>
      </c>
      <c r="C14" t="inlineStr">
        <is>
          <t>Westmoreland</t>
        </is>
      </c>
    </row>
    <row r="15">
      <c r="A15" t="inlineStr">
        <is>
          <t>FNID Direct (923-6184)</t>
        </is>
      </c>
      <c r="C15" t="inlineStr">
        <is>
          <t>St. Catherine</t>
        </is>
      </c>
    </row>
    <row r="16">
      <c r="A16" t="inlineStr">
        <is>
          <t>UK NCA</t>
        </is>
      </c>
    </row>
    <row r="17">
      <c r="A17" t="inlineStr">
        <is>
          <t>US Marshals</t>
        </is>
      </c>
    </row>
    <row r="18">
      <c r="A18" t="inlineStr">
        <is>
          <t>Anonymous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2026-02-27T06:20:07Z</dcterms:created>
  <dcterms:modified xmlns:dcterms="http://purl.org/dc/terms/" xmlns:xsi="http://www.w3.org/2001/XMLSchema-instance" xsi:type="dcterms:W3CDTF">2026-02-27T06:20:07Z</dcterms:modified>
</cp:coreProperties>
</file>