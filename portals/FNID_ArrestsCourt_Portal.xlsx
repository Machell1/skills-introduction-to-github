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Arrest_Register" sheetId="2" state="visible" r:id="rId2"/>
    <sheet xmlns:r="http://schemas.openxmlformats.org/officeDocument/2006/relationships" name="Bail_Court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Look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7030A0"/>
      <sz val="20"/>
    </font>
    <font>
      <name val="Calibri"/>
      <i val="1"/>
      <color rgb="00808080"/>
      <sz val="11"/>
    </font>
    <font>
      <name val="Calibri"/>
      <b val="1"/>
      <color rgb="00002060"/>
      <sz val="12"/>
    </font>
    <font>
      <name val="Calibri"/>
      <b val="1"/>
      <sz val="10"/>
    </font>
    <font>
      <name val="Calibri"/>
      <sz val="10"/>
    </font>
    <font>
      <name val="Calibri"/>
      <color rgb="00808080"/>
      <sz val="9"/>
    </font>
    <font>
      <name val="Calibri"/>
      <b val="1"/>
      <color rgb="00FFFFFF"/>
      <sz val="10"/>
    </font>
    <font>
      <name val="Calibri"/>
      <b val="1"/>
      <color rgb="001F3864"/>
      <sz val="16"/>
    </font>
    <font>
      <name val="Calibri"/>
      <b val="1"/>
      <color rgb="001F3864"/>
      <sz val="2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2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D0E0F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Bail Status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'Dashboard'!$B$9:$B$13</f>
            </numRef>
          </cat>
          <val>
            <numRef>
              <f>'Dashboard'!$C$9:$C$13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Court Type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'Dashboard'!$B$17:$B$20</f>
            </numRef>
          </cat>
          <val>
            <numRef>
              <f>'Dashboard'!$C$17:$C$20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Arrests Trend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'Dashboard'!$C$24:$C$35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22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rrests" displayName="tbl_Arrests" ref="A1:AA25" headerRowCount="1">
  <autoFilter ref="A1:AA25"/>
  <tableColumns count="27">
    <tableColumn id="1" name="ArrestID"/>
    <tableColumn id="2" name="ArrestDate"/>
    <tableColumn id="3" name="ArrestTime"/>
    <tableColumn id="4" name="LinkedOpID"/>
    <tableColumn id="5" name="SuspectName"/>
    <tableColumn id="6" name="SuspectDOB"/>
    <tableColumn id="7" name="SuspectAddress"/>
    <tableColumn id="8" name="SuspectOccupation"/>
    <tableColumn id="9" name="Parish"/>
    <tableColumn id="10" name="ArrestLocation"/>
    <tableColumn id="11" name="ArrestingOfficer"/>
    <tableColumn id="12" name="ArrestingOfficerRank"/>
    <tableColumn id="13" name="Offence1"/>
    <tableColumn id="14" name="LawAndSection1"/>
    <tableColumn id="15" name="Offence2"/>
    <tableColumn id="16" name="LawAndSection2"/>
    <tableColumn id="17" name="48hr_Deadline"/>
    <tableColumn id="18" name="ChargeDate"/>
    <tableColumn id="19" name="ChargeWithin48hr"/>
    <tableColumn id="20" name="BailStatus"/>
    <tableColumn id="21" name="CourtType"/>
    <tableColumn id="22" name="FirstCourtDate"/>
    <tableColumn id="23" name="RemandLocation"/>
    <tableColumn id="24" name="LegalRepresentation"/>
    <tableColumn id="25" name="StatementsTaken"/>
    <tableColumn id="26" name="WitnessCount"/>
    <tableColumn id="2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ailCourt" displayName="tbl_BailCourt" ref="A1:O21" headerRowCount="1">
  <autoFilter ref="A1:O21"/>
  <tableColumns count="15">
    <tableColumn id="1" name="ArrestID"/>
    <tableColumn id="2" name="SuspectName"/>
    <tableColumn id="3" name="CourtType"/>
    <tableColumn id="4" name="CourtDate"/>
    <tableColumn id="5" name="BailStatus"/>
    <tableColumn id="6" name="BailAmount_JMD"/>
    <tableColumn id="7" name="BailConditions"/>
    <tableColumn id="8" name="NextHearingDate"/>
    <tableColumn id="9" name="CrownCounsel"/>
    <tableColumn id="10" name="Defence"/>
    <tableColumn id="11" name="Plea"/>
    <tableColumn id="12" name="Verdict"/>
    <tableColumn id="13" name="Sentence"/>
    <tableColumn id="14" name="AppealFiled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40" customWidth="1" min="3" max="3"/>
  </cols>
  <sheetData>
    <row r="2">
      <c r="B2" s="1" t="inlineStr">
        <is>
          <t>FNID AREA 3 - ARRESTS &amp; COURT UNIT PORTAL</t>
        </is>
      </c>
    </row>
    <row r="3">
      <c r="B3" s="2" t="inlineStr">
        <is>
          <t>Jamaica Constabulary Force | Manchester | St. Elizabeth | Clarendon</t>
        </is>
      </c>
    </row>
    <row r="5">
      <c r="B5" s="3" t="inlineStr">
        <is>
          <t>PORTAL NAVIGATION</t>
        </is>
      </c>
    </row>
    <row r="6">
      <c r="B6" s="4" t="inlineStr">
        <is>
          <t xml:space="preserve">  Arrest_Register</t>
        </is>
      </c>
      <c r="C6" s="5" t="inlineStr">
        <is>
          <t>Arrest log with 48-hour compliance</t>
        </is>
      </c>
    </row>
    <row r="7">
      <c r="B7" s="4" t="inlineStr">
        <is>
          <t xml:space="preserve">  Bail_Court</t>
        </is>
      </c>
      <c r="C7" s="5" t="inlineStr">
        <is>
          <t>Bail status and court tracking</t>
        </is>
      </c>
    </row>
    <row r="8">
      <c r="B8" s="4" t="inlineStr">
        <is>
          <t xml:space="preserve">  Dashboard</t>
        </is>
      </c>
      <c r="C8" s="5" t="inlineStr">
        <is>
          <t>Arrest KPIs and court pipeline charts</t>
        </is>
      </c>
    </row>
    <row r="9">
      <c r="B9" s="4" t="inlineStr">
        <is>
          <t xml:space="preserve">  Lookups</t>
        </is>
      </c>
      <c r="C9" s="5" t="inlineStr">
        <is>
          <t>Dropdown reference data</t>
        </is>
      </c>
    </row>
    <row r="11">
      <c r="B11" s="3" t="inlineStr">
        <is>
          <t>SUBMISSION WORKFLOW</t>
        </is>
      </c>
    </row>
    <row r="12">
      <c r="B12" s="5" t="inlineStr">
        <is>
          <t>1. Enter data in the data entry sheet(s)</t>
        </is>
      </c>
    </row>
    <row r="13">
      <c r="B13" s="5" t="inlineStr">
        <is>
          <t>2. Set RecordStatus to 'Draft' while working</t>
        </is>
      </c>
    </row>
    <row r="14">
      <c r="B14" s="5" t="inlineStr">
        <is>
          <t>3. Fill SubmittedBy with your name/badge when ready</t>
        </is>
      </c>
    </row>
    <row r="15">
      <c r="B15" s="5" t="inlineStr">
        <is>
          <t>4. Change RecordStatus to 'Submitted' to finalize</t>
        </is>
      </c>
    </row>
    <row r="16">
      <c r="B16" s="5" t="inlineStr">
        <is>
          <t>5. To edit a submitted record, change status to 'Edited'</t>
        </is>
      </c>
    </row>
    <row r="17">
      <c r="B17" s="5" t="inlineStr">
        <is>
          <t>6. Use the Dashboard sheet to view KPIs and charts</t>
        </is>
      </c>
    </row>
    <row r="19">
      <c r="B19" s="6" t="inlineStr">
        <is>
          <t>Generated: 2026-02-27 06:20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A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20" customWidth="1" min="5" max="5"/>
    <col width="12" customWidth="1" min="6" max="6"/>
    <col width="24" customWidth="1" min="7" max="7"/>
    <col width="16" customWidth="1" min="8" max="8"/>
    <col width="14" customWidth="1" min="9" max="9"/>
    <col width="22" customWidth="1" min="10" max="10"/>
    <col width="18" customWidth="1" min="11" max="11"/>
    <col width="14" customWidth="1" min="12" max="12"/>
    <col width="28" customWidth="1" min="13" max="13"/>
    <col width="28" customWidth="1" min="14" max="14"/>
    <col width="28" customWidth="1" min="15" max="15"/>
    <col width="28" customWidth="1" min="16" max="16"/>
    <col width="14" customWidth="1" min="17" max="17"/>
    <col width="12" customWidth="1" min="18" max="18"/>
    <col width="10" customWidth="1" min="19" max="19"/>
    <col width="18" customWidth="1" min="20" max="20"/>
    <col width="2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0" customWidth="1" min="26" max="26"/>
    <col width="28" customWidth="1" min="27" max="27"/>
    <col width="14" customWidth="1" min="28" max="28"/>
    <col width="16" customWidth="1" min="29" max="29"/>
    <col width="14" customWidth="1" min="30" max="30"/>
    <col width="16" customWidth="1" min="31" max="31"/>
    <col width="14" customWidth="1" min="32" max="32"/>
  </cols>
  <sheetData>
    <row r="1">
      <c r="A1" s="7" t="inlineStr">
        <is>
          <t>ArrestID</t>
        </is>
      </c>
      <c r="B1" s="7" t="inlineStr">
        <is>
          <t>ArrestDate</t>
        </is>
      </c>
      <c r="C1" s="7" t="inlineStr">
        <is>
          <t>ArrestTime</t>
        </is>
      </c>
      <c r="D1" s="7" t="inlineStr">
        <is>
          <t>LinkedOpID</t>
        </is>
      </c>
      <c r="E1" s="7" t="inlineStr">
        <is>
          <t>SuspectName</t>
        </is>
      </c>
      <c r="F1" s="7" t="inlineStr">
        <is>
          <t>SuspectDOB</t>
        </is>
      </c>
      <c r="G1" s="7" t="inlineStr">
        <is>
          <t>SuspectAddress</t>
        </is>
      </c>
      <c r="H1" s="7" t="inlineStr">
        <is>
          <t>SuspectOccupation</t>
        </is>
      </c>
      <c r="I1" s="7" t="inlineStr">
        <is>
          <t>Parish</t>
        </is>
      </c>
      <c r="J1" s="7" t="inlineStr">
        <is>
          <t>ArrestLocation</t>
        </is>
      </c>
      <c r="K1" s="7" t="inlineStr">
        <is>
          <t>ArrestingOfficer</t>
        </is>
      </c>
      <c r="L1" s="7" t="inlineStr">
        <is>
          <t>ArrestingOfficerRank</t>
        </is>
      </c>
      <c r="M1" s="7" t="inlineStr">
        <is>
          <t>Offence1</t>
        </is>
      </c>
      <c r="N1" s="7" t="inlineStr">
        <is>
          <t>LawAndSection1</t>
        </is>
      </c>
      <c r="O1" s="7" t="inlineStr">
        <is>
          <t>Offence2</t>
        </is>
      </c>
      <c r="P1" s="7" t="inlineStr">
        <is>
          <t>LawAndSection2</t>
        </is>
      </c>
      <c r="Q1" s="7" t="inlineStr">
        <is>
          <t>48hr_Deadline</t>
        </is>
      </c>
      <c r="R1" s="7" t="inlineStr">
        <is>
          <t>ChargeDate</t>
        </is>
      </c>
      <c r="S1" s="7" t="inlineStr">
        <is>
          <t>ChargeWithin48hr</t>
        </is>
      </c>
      <c r="T1" s="7" t="inlineStr">
        <is>
          <t>BailStatus</t>
        </is>
      </c>
      <c r="U1" s="7" t="inlineStr">
        <is>
          <t>CourtType</t>
        </is>
      </c>
      <c r="V1" s="7" t="inlineStr">
        <is>
          <t>FirstCourtDate</t>
        </is>
      </c>
      <c r="W1" s="7" t="inlineStr">
        <is>
          <t>RemandLocation</t>
        </is>
      </c>
      <c r="X1" s="7" t="inlineStr">
        <is>
          <t>LegalRepresentation</t>
        </is>
      </c>
      <c r="Y1" s="7" t="inlineStr">
        <is>
          <t>StatementsTaken</t>
        </is>
      </c>
      <c r="Z1" s="7" t="inlineStr">
        <is>
          <t>WitnessCount</t>
        </is>
      </c>
      <c r="AA1" s="7" t="inlineStr">
        <is>
          <t>Notes</t>
        </is>
      </c>
      <c r="AB1" s="7" t="inlineStr">
        <is>
          <t>RecordStatus</t>
        </is>
      </c>
      <c r="AC1" s="7" t="inlineStr">
        <is>
          <t>SubmittedBy</t>
        </is>
      </c>
      <c r="AD1" s="7" t="inlineStr">
        <is>
          <t>SubmittedDate</t>
        </is>
      </c>
      <c r="AE1" s="7" t="inlineStr">
        <is>
          <t>LastEditedBy</t>
        </is>
      </c>
      <c r="AF1" s="7" t="inlineStr">
        <is>
          <t>LastEditedDate</t>
        </is>
      </c>
    </row>
    <row r="2">
      <c r="A2" s="8" t="inlineStr">
        <is>
          <t>AR-2025-001</t>
        </is>
      </c>
      <c r="B2" s="8" t="inlineStr">
        <is>
          <t>2025-01-20</t>
        </is>
      </c>
      <c r="C2" s="8" t="inlineStr">
        <is>
          <t>06:45</t>
        </is>
      </c>
      <c r="D2" s="8" t="inlineStr">
        <is>
          <t>OP-2025-001</t>
        </is>
      </c>
      <c r="E2" s="8" t="inlineStr">
        <is>
          <t>John BROWN</t>
        </is>
      </c>
      <c r="F2" s="8" t="inlineStr">
        <is>
          <t>1990-05-12</t>
        </is>
      </c>
      <c r="G2" s="8" t="inlineStr">
        <is>
          <t>15 Main St, Mandeville</t>
        </is>
      </c>
      <c r="H2" s="8" t="inlineStr">
        <is>
          <t>Labourer</t>
        </is>
      </c>
      <c r="I2" s="8" t="inlineStr">
        <is>
          <t>Manchester</t>
        </is>
      </c>
      <c r="J2" s="8" t="inlineStr">
        <is>
          <t>Lot 14 Green Ave</t>
        </is>
      </c>
      <c r="K2" s="8" t="inlineStr">
        <is>
          <t>DC Williams</t>
        </is>
      </c>
      <c r="L2" s="8" t="inlineStr">
        <is>
          <t>Detective Corporal</t>
        </is>
      </c>
      <c r="M2" s="8" t="inlineStr">
        <is>
          <t>Illegal Possession of Firearm</t>
        </is>
      </c>
      <c r="N2" s="8" t="inlineStr">
        <is>
          <t>s.5 - Possession of Prohibited Weapon (15-25yr)</t>
        </is>
      </c>
      <c r="O2" s="8" t="inlineStr">
        <is>
          <t>Illegal Possession of Ammunition</t>
        </is>
      </c>
      <c r="P2" s="8" t="inlineStr">
        <is>
          <t>Illegal Possession of Ammunition</t>
        </is>
      </c>
      <c r="Q2" s="8" t="inlineStr">
        <is>
          <t>2025-01-22 06:45</t>
        </is>
      </c>
      <c r="R2" s="8" t="inlineStr">
        <is>
          <t>2025-01-20</t>
        </is>
      </c>
      <c r="S2" s="8" t="inlineStr">
        <is>
          <t>Yes</t>
        </is>
      </c>
      <c r="T2" s="8" t="inlineStr">
        <is>
          <t>Remanded in Custody</t>
        </is>
      </c>
      <c r="U2" s="8" t="inlineStr">
        <is>
          <t>Gun Court - High Court Division</t>
        </is>
      </c>
      <c r="V2" s="8" t="inlineStr">
        <is>
          <t>2025-02-03</t>
        </is>
      </c>
      <c r="W2" s="8" t="inlineStr">
        <is>
          <t>Tower Street Adult Correctional</t>
        </is>
      </c>
      <c r="X2" s="8" t="inlineStr">
        <is>
          <t>Legal Aid Council</t>
        </is>
      </c>
      <c r="Y2" s="8" t="inlineStr">
        <is>
          <t>Yes</t>
        </is>
      </c>
      <c r="Z2" s="8" t="n">
        <v>3</v>
      </c>
      <c r="AA2" s="8" t="inlineStr">
        <is>
          <t>Found at premises during warrant execution</t>
        </is>
      </c>
    </row>
    <row r="3">
      <c r="A3" s="8" t="inlineStr">
        <is>
          <t>AR-2025-002</t>
        </is>
      </c>
      <c r="B3" s="8" t="inlineStr">
        <is>
          <t>2025-03-05</t>
        </is>
      </c>
      <c r="C3" s="8" t="inlineStr">
        <is>
          <t>05:15</t>
        </is>
      </c>
      <c r="D3" s="8" t="inlineStr">
        <is>
          <t>OP-2025-004</t>
        </is>
      </c>
      <c r="E3" s="8" t="inlineStr">
        <is>
          <t>Devon GRANT</t>
        </is>
      </c>
      <c r="F3" s="8" t="inlineStr">
        <is>
          <t>1985-08-23</t>
        </is>
      </c>
      <c r="G3" s="8" t="inlineStr">
        <is>
          <t>Christiana, Manchester</t>
        </is>
      </c>
      <c r="H3" s="8" t="inlineStr">
        <is>
          <t>Unemployed</t>
        </is>
      </c>
      <c r="I3" s="8" t="inlineStr">
        <is>
          <t>Manchester</t>
        </is>
      </c>
      <c r="J3" s="8" t="inlineStr">
        <is>
          <t>Christiana district</t>
        </is>
      </c>
      <c r="K3" s="8" t="inlineStr">
        <is>
          <t>Supt. Davis</t>
        </is>
      </c>
      <c r="L3" s="8" t="inlineStr">
        <is>
          <t>Superintendent</t>
        </is>
      </c>
      <c r="M3" s="8" t="inlineStr">
        <is>
          <t>s.6 - Stockpiling (3+ weapons / 50+ rounds)</t>
        </is>
      </c>
      <c r="N3" s="8" t="inlineStr">
        <is>
          <t>s.6 - Stockpiling (3+ weapons / 50+ rounds)</t>
        </is>
      </c>
      <c r="O3" s="8" t="inlineStr">
        <is>
          <t>Dealing/Trafficking - Cocaine</t>
        </is>
      </c>
      <c r="P3" s="8" t="inlineStr">
        <is>
          <t>Dealing/Trafficking - Cocaine</t>
        </is>
      </c>
      <c r="Q3" s="8" t="inlineStr">
        <is>
          <t>2025-03-07 05:15</t>
        </is>
      </c>
      <c r="R3" s="8" t="inlineStr">
        <is>
          <t>2025-03-05</t>
        </is>
      </c>
      <c r="S3" s="8" t="inlineStr">
        <is>
          <t>Yes</t>
        </is>
      </c>
      <c r="T3" s="8" t="inlineStr">
        <is>
          <t>Bail Denied</t>
        </is>
      </c>
      <c r="U3" s="8" t="inlineStr">
        <is>
          <t>Gun Court - High Court Division</t>
        </is>
      </c>
      <c r="V3" s="8" t="inlineStr">
        <is>
          <t>2025-03-19</t>
        </is>
      </c>
      <c r="W3" s="8" t="inlineStr">
        <is>
          <t>Tower Street Adult Correctional</t>
        </is>
      </c>
      <c r="X3" s="8" t="inlineStr">
        <is>
          <t>Private Attorney</t>
        </is>
      </c>
      <c r="Y3" s="8" t="inlineStr">
        <is>
          <t>Yes</t>
        </is>
      </c>
      <c r="Z3" s="8" t="n">
        <v>5</v>
      </c>
      <c r="AA3" s="8" t="inlineStr">
        <is>
          <t>Major target - MOCA joint operation</t>
        </is>
      </c>
    </row>
    <row r="4">
      <c r="A4" s="8" t="inlineStr">
        <is>
          <t>AR-2025-003</t>
        </is>
      </c>
      <c r="B4" s="8" t="inlineStr">
        <is>
          <t>2025-03-05</t>
        </is>
      </c>
      <c r="C4" s="8" t="inlineStr">
        <is>
          <t>05:30</t>
        </is>
      </c>
      <c r="D4" s="8" t="inlineStr">
        <is>
          <t>OP-2025-004</t>
        </is>
      </c>
      <c r="E4" s="8" t="inlineStr">
        <is>
          <t>Michael REID</t>
        </is>
      </c>
      <c r="F4" s="8" t="inlineStr">
        <is>
          <t>1992-11-07</t>
        </is>
      </c>
      <c r="G4" s="8" t="inlineStr">
        <is>
          <t>Christiana, Manchester</t>
        </is>
      </c>
      <c r="H4" s="8" t="inlineStr">
        <is>
          <t>Fisherman</t>
        </is>
      </c>
      <c r="I4" s="8" t="inlineStr">
        <is>
          <t>Manchester</t>
        </is>
      </c>
      <c r="J4" s="8" t="inlineStr">
        <is>
          <t>Christiana district</t>
        </is>
      </c>
      <c r="K4" s="8" t="inlineStr">
        <is>
          <t>DC Thompson</t>
        </is>
      </c>
      <c r="L4" s="8" t="inlineStr">
        <is>
          <t>Detective Corporal</t>
        </is>
      </c>
      <c r="M4" s="8" t="inlineStr">
        <is>
          <t>s.5 - Possession of Prohibited Weapon (15-25yr)</t>
        </is>
      </c>
      <c r="N4" s="8" t="inlineStr">
        <is>
          <t>s.5 - Possession of Prohibited Weapon (15-25yr)</t>
        </is>
      </c>
      <c r="O4" s="8" t="inlineStr"/>
      <c r="P4" s="8" t="inlineStr"/>
      <c r="Q4" s="8" t="inlineStr">
        <is>
          <t>2025-03-07 05:30</t>
        </is>
      </c>
      <c r="R4" s="8" t="inlineStr">
        <is>
          <t>2025-03-06</t>
        </is>
      </c>
      <c r="S4" s="8" t="inlineStr">
        <is>
          <t>Yes</t>
        </is>
      </c>
      <c r="T4" s="8" t="inlineStr">
        <is>
          <t>Remanded in Custody</t>
        </is>
      </c>
      <c r="U4" s="8" t="inlineStr">
        <is>
          <t>Gun Court - RM Division</t>
        </is>
      </c>
      <c r="V4" s="8" t="inlineStr">
        <is>
          <t>2025-03-20</t>
        </is>
      </c>
      <c r="W4" s="8" t="inlineStr">
        <is>
          <t>Mandeville Police Lock-Up</t>
        </is>
      </c>
      <c r="X4" s="8" t="inlineStr">
        <is>
          <t>None</t>
        </is>
      </c>
      <c r="Y4" s="8" t="inlineStr">
        <is>
          <t>Yes</t>
        </is>
      </c>
      <c r="Z4" s="8" t="n">
        <v>2</v>
      </c>
      <c r="AA4" s="8" t="inlineStr">
        <is>
          <t>Associate of GRANT</t>
        </is>
      </c>
    </row>
    <row r="5">
      <c r="A5" s="8" t="inlineStr">
        <is>
          <t>AR-2025-004</t>
        </is>
      </c>
      <c r="B5" s="8" t="inlineStr">
        <is>
          <t>2025-03-22</t>
        </is>
      </c>
      <c r="C5" s="8" t="inlineStr">
        <is>
          <t>14:00</t>
        </is>
      </c>
      <c r="D5" s="8" t="inlineStr">
        <is>
          <t>OP-2025-006</t>
        </is>
      </c>
      <c r="E5" s="8" t="inlineStr">
        <is>
          <t>Andrew BLAKE</t>
        </is>
      </c>
      <c r="F5" s="8" t="inlineStr">
        <is>
          <t>1988-02-15</t>
        </is>
      </c>
      <c r="G5" s="8" t="inlineStr">
        <is>
          <t>May Pen, Clarendon</t>
        </is>
      </c>
      <c r="H5" s="8" t="inlineStr">
        <is>
          <t>Driver</t>
        </is>
      </c>
      <c r="I5" s="8" t="inlineStr">
        <is>
          <t>Clarendon</t>
        </is>
      </c>
      <c r="J5" s="8" t="inlineStr">
        <is>
          <t>Highway 2000 checkpoint</t>
        </is>
      </c>
      <c r="K5" s="8" t="inlineStr">
        <is>
          <t>DC Williams</t>
        </is>
      </c>
      <c r="L5" s="8" t="inlineStr">
        <is>
          <t>Detective Corporal</t>
        </is>
      </c>
      <c r="M5" s="8" t="inlineStr">
        <is>
          <t>s.5 - Possession of Prohibited Weapon (15-25yr)</t>
        </is>
      </c>
      <c r="N5" s="8" t="inlineStr">
        <is>
          <t>s.5 - Possession of Prohibited Weapon (15-25yr)</t>
        </is>
      </c>
      <c r="O5" s="8" t="inlineStr">
        <is>
          <t>Possession - Cocaine</t>
        </is>
      </c>
      <c r="P5" s="8" t="inlineStr">
        <is>
          <t>Possession - Cocaine</t>
        </is>
      </c>
      <c r="Q5" s="8" t="inlineStr">
        <is>
          <t>2025-03-24 14:00</t>
        </is>
      </c>
      <c r="R5" s="8" t="inlineStr">
        <is>
          <t>2025-03-22</t>
        </is>
      </c>
      <c r="S5" s="8" t="inlineStr">
        <is>
          <t>Yes</t>
        </is>
      </c>
      <c r="T5" s="8" t="inlineStr">
        <is>
          <t>Bail Granted</t>
        </is>
      </c>
      <c r="U5" s="8" t="inlineStr">
        <is>
          <t>Gun Court - RM Division</t>
        </is>
      </c>
      <c r="V5" s="8" t="inlineStr">
        <is>
          <t>2025-04-05</t>
        </is>
      </c>
      <c r="W5" s="8" t="inlineStr"/>
      <c r="X5" s="8" t="inlineStr">
        <is>
          <t>Private Attorney</t>
        </is>
      </c>
      <c r="Y5" s="8" t="inlineStr">
        <is>
          <t>Yes</t>
        </is>
      </c>
      <c r="Z5" s="8" t="n">
        <v>2</v>
      </c>
      <c r="AA5" s="8" t="inlineStr">
        <is>
          <t>Vehicle checkpoint intercept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</row>
  </sheetData>
  <conditionalFormatting sqref="AB2:AB1000">
    <cfRule type="cellIs" priority="1" operator="equal" dxfId="0">
      <formula>"Draft"</formula>
    </cfRule>
    <cfRule type="cellIs" priority="2" operator="equal" dxfId="1">
      <formula>"Submitted"</formula>
    </cfRule>
    <cfRule type="cellIs" priority="3" operator="equal" dxfId="2">
      <formula>"Edited"</formula>
    </cfRule>
  </conditionalFormatting>
  <conditionalFormatting sqref="S2:S25">
    <cfRule type="cellIs" priority="4" operator="equal" dxfId="3">
      <formula>"Yes"</formula>
    </cfRule>
    <cfRule type="cellIs" priority="5" operator="equal" dxfId="4">
      <formula>"No"</formula>
    </cfRule>
  </conditionalFormatting>
  <dataValidations count="7">
    <dataValidation sqref="AB2:AB25" showDropDown="0" showInputMessage="0" showErrorMessage="0" allowBlank="1" errorTitle="Invalid" error="Select from dropdown" type="list">
      <formula1>"Draft,Submitted,Edited"</formula1>
    </dataValidation>
    <dataValidation sqref="I2:I500" showDropDown="0" showInputMessage="0" showErrorMessage="0" allowBlank="1" errorTitle="Invalid" error="Select from dropdown" type="list">
      <formula1>Lookups!$C$2:$C$20</formula1>
    </dataValidation>
    <dataValidation sqref="M2:M500" showDropDown="0" showInputMessage="0" showErrorMessage="0" allowBlank="1" errorTitle="Invalid" error="Select from dropdown" type="list">
      <formula1>Lookups!$F$2:$F$15</formula1>
    </dataValidation>
    <dataValidation sqref="O2:O500" showDropDown="0" showInputMessage="0" showErrorMessage="0" allowBlank="1" errorTitle="Invalid" error="Select from dropdown" type="list">
      <formula1>Lookups!$G$2:$G$12</formula1>
    </dataValidation>
    <dataValidation sqref="S2:S500" showDropDown="0" showInputMessage="0" showErrorMessage="0" allowBlank="1" errorTitle="Invalid" error="Select from dropdown" type="list">
      <formula1>Lookups!$D$2:$D$5</formula1>
    </dataValidation>
    <dataValidation sqref="T2:T500" showDropDown="0" showInputMessage="0" showErrorMessage="0" allowBlank="1" errorTitle="Invalid" error="Select from dropdown" type="list">
      <formula1>Lookups!$H$2:$H$12</formula1>
    </dataValidation>
    <dataValidation sqref="U2:U500" showDropDown="0" showInputMessage="0" showErrorMessage="0" allowBlank="1" errorTitle="Invalid" error="Select from dropdown" type="list">
      <formula1>Lookups!$I$2:$I$10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2" customWidth="1" min="4" max="4"/>
    <col width="18" customWidth="1" min="5" max="5"/>
    <col width="14" customWidth="1" min="6" max="6"/>
    <col width="24" customWidth="1" min="7" max="7"/>
    <col width="14" customWidth="1" min="8" max="8"/>
    <col width="18" customWidth="1" min="9" max="9"/>
    <col width="18" customWidth="1" min="10" max="10"/>
    <col width="10" customWidth="1" min="11" max="11"/>
    <col width="14" customWidth="1" min="12" max="12"/>
    <col width="20" customWidth="1" min="13" max="13"/>
    <col width="10" customWidth="1" min="14" max="14"/>
    <col width="28" customWidth="1" min="15" max="15"/>
    <col width="14" customWidth="1" min="16" max="16"/>
    <col width="16" customWidth="1" min="17" max="17"/>
    <col width="14" customWidth="1" min="18" max="18"/>
    <col width="16" customWidth="1" min="19" max="19"/>
    <col width="14" customWidth="1" min="20" max="20"/>
  </cols>
  <sheetData>
    <row r="1">
      <c r="A1" s="7" t="inlineStr">
        <is>
          <t>ArrestID</t>
        </is>
      </c>
      <c r="B1" s="7" t="inlineStr">
        <is>
          <t>SuspectName</t>
        </is>
      </c>
      <c r="C1" s="7" t="inlineStr">
        <is>
          <t>CourtType</t>
        </is>
      </c>
      <c r="D1" s="7" t="inlineStr">
        <is>
          <t>CourtDate</t>
        </is>
      </c>
      <c r="E1" s="7" t="inlineStr">
        <is>
          <t>BailStatus</t>
        </is>
      </c>
      <c r="F1" s="7" t="inlineStr">
        <is>
          <t>BailAmount_JMD</t>
        </is>
      </c>
      <c r="G1" s="7" t="inlineStr">
        <is>
          <t>BailConditions</t>
        </is>
      </c>
      <c r="H1" s="7" t="inlineStr">
        <is>
          <t>NextHearingDate</t>
        </is>
      </c>
      <c r="I1" s="7" t="inlineStr">
        <is>
          <t>CrownCounsel</t>
        </is>
      </c>
      <c r="J1" s="7" t="inlineStr">
        <is>
          <t>Defence</t>
        </is>
      </c>
      <c r="K1" s="7" t="inlineStr">
        <is>
          <t>Plea</t>
        </is>
      </c>
      <c r="L1" s="7" t="inlineStr">
        <is>
          <t>Verdict</t>
        </is>
      </c>
      <c r="M1" s="7" t="inlineStr">
        <is>
          <t>Sentence</t>
        </is>
      </c>
      <c r="N1" s="7" t="inlineStr">
        <is>
          <t>AppealFiled</t>
        </is>
      </c>
      <c r="O1" s="7" t="inlineStr">
        <is>
          <t>Notes</t>
        </is>
      </c>
      <c r="P1" s="7" t="inlineStr">
        <is>
          <t>RecordStatus</t>
        </is>
      </c>
      <c r="Q1" s="7" t="inlineStr">
        <is>
          <t>SubmittedBy</t>
        </is>
      </c>
      <c r="R1" s="7" t="inlineStr">
        <is>
          <t>SubmittedDate</t>
        </is>
      </c>
      <c r="S1" s="7" t="inlineStr">
        <is>
          <t>LastEditedBy</t>
        </is>
      </c>
      <c r="T1" s="7" t="inlineStr">
        <is>
          <t>LastEditedDate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</sheetData>
  <conditionalFormatting sqref="P2:P1000">
    <cfRule type="cellIs" priority="1" operator="equal" dxfId="0">
      <formula>"Draft"</formula>
    </cfRule>
    <cfRule type="cellIs" priority="2" operator="equal" dxfId="1">
      <formula>"Submitted"</formula>
    </cfRule>
    <cfRule type="cellIs" priority="3" operator="equal" dxfId="2">
      <formula>"Edited"</formula>
    </cfRule>
  </conditionalFormatting>
  <dataValidations count="1">
    <dataValidation sqref="P2:P21" showDropDown="0" showInputMessage="0" showErrorMessage="0" allowBlank="1" errorTitle="Invalid" error="Select from dropdown" type="list">
      <formula1>"Draft,Submitted,Edited"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B2:L35"/>
  <sheetViews>
    <sheetView showGridLines="0" workbookViewId="0">
      <selection activeCell="A1" sqref="A1"/>
    </sheetView>
  </sheetViews>
  <sheetFormatPr baseColWidth="8" defaultRowHeight="15"/>
  <sheetData>
    <row r="2">
      <c r="B2" s="9" t="inlineStr">
        <is>
          <t>ARRESTS &amp; COURT DASHBOARD - FNID Area 3</t>
        </is>
      </c>
    </row>
    <row r="4">
      <c r="B4" s="10">
        <f>COUNTA(Arrest_Register!A2:A25)</f>
        <v/>
      </c>
      <c r="C4" s="11" t="n"/>
      <c r="E4" s="10">
        <f>COUNTIF(Arrest_Register!S2:S25,"Yes")</f>
        <v/>
      </c>
      <c r="F4" s="11" t="n"/>
      <c r="H4" s="10">
        <f>COUNTIF(Arrest_Register!T2:T25,"Bail Denied")</f>
        <v/>
      </c>
      <c r="I4" s="11" t="n"/>
      <c r="K4" s="10">
        <f>COUNTIF(Arrest_Register!T2:T25,"Remanded*")</f>
        <v/>
      </c>
      <c r="L4" s="11" t="n"/>
    </row>
    <row r="5">
      <c r="B5" s="12" t="inlineStr">
        <is>
          <t>Total Arrests</t>
        </is>
      </c>
      <c r="C5" s="11" t="n"/>
      <c r="E5" s="12" t="inlineStr">
        <is>
          <t>48hr Compliant</t>
        </is>
      </c>
      <c r="F5" s="11" t="n"/>
      <c r="H5" s="12" t="inlineStr">
        <is>
          <t>Bail Denied</t>
        </is>
      </c>
      <c r="I5" s="11" t="n"/>
      <c r="K5" s="12" t="inlineStr">
        <is>
          <t>Remanded</t>
        </is>
      </c>
      <c r="L5" s="11" t="n"/>
    </row>
    <row r="8">
      <c r="B8" s="4" t="inlineStr">
        <is>
          <t>Bail Status</t>
        </is>
      </c>
      <c r="C8" s="4" t="inlineStr">
        <is>
          <t>Count</t>
        </is>
      </c>
    </row>
    <row r="9">
      <c r="B9" s="5" t="inlineStr">
        <is>
          <t>Bail Granted</t>
        </is>
      </c>
      <c r="C9" s="5">
        <f>COUNTIF(Arrest_Register!T2:T25,B9)</f>
        <v/>
      </c>
    </row>
    <row r="10">
      <c r="B10" s="5" t="inlineStr">
        <is>
          <t>Bail Denied</t>
        </is>
      </c>
      <c r="C10" s="5">
        <f>COUNTIF(Arrest_Register!T2:T25,B10)</f>
        <v/>
      </c>
    </row>
    <row r="11">
      <c r="B11" s="5" t="inlineStr">
        <is>
          <t>Remanded in Custody</t>
        </is>
      </c>
      <c r="C11" s="5">
        <f>COUNTIF(Arrest_Register!T2:T25,B11)</f>
        <v/>
      </c>
    </row>
    <row r="12">
      <c r="B12" s="5" t="inlineStr">
        <is>
          <t>Released - No Charge</t>
        </is>
      </c>
      <c r="C12" s="5">
        <f>COUNTIF(Arrest_Register!T2:T25,B12)</f>
        <v/>
      </c>
    </row>
    <row r="13">
      <c r="B13" s="5" t="inlineStr">
        <is>
          <t>Stop Order Issued</t>
        </is>
      </c>
      <c r="C13" s="5">
        <f>COUNTIF(Arrest_Register!T2:T25,B13)</f>
        <v/>
      </c>
    </row>
    <row r="16">
      <c r="B16" s="4" t="inlineStr">
        <is>
          <t>Court Type</t>
        </is>
      </c>
      <c r="C16" s="4" t="inlineStr">
        <is>
          <t>Count</t>
        </is>
      </c>
    </row>
    <row r="17">
      <c r="B17" s="5" t="inlineStr">
        <is>
          <t>Gun Court - High Court Division</t>
        </is>
      </c>
      <c r="C17" s="5">
        <f>COUNTIF(Arrest_Register!U2:U25,B17)</f>
        <v/>
      </c>
    </row>
    <row r="18">
      <c r="B18" s="5" t="inlineStr">
        <is>
          <t>Gun Court - RM Division</t>
        </is>
      </c>
      <c r="C18" s="5">
        <f>COUNTIF(Arrest_Register!U2:U25,B18)</f>
        <v/>
      </c>
    </row>
    <row r="19">
      <c r="B19" s="5" t="inlineStr">
        <is>
          <t>Parish Court</t>
        </is>
      </c>
      <c r="C19" s="5">
        <f>COUNTIF(Arrest_Register!U2:U25,B19)</f>
        <v/>
      </c>
    </row>
    <row r="20">
      <c r="B20" s="5" t="inlineStr">
        <is>
          <t>Circuit Court</t>
        </is>
      </c>
      <c r="C20" s="5">
        <f>COUNTIF(Arrest_Register!U2:U25,B20)</f>
        <v/>
      </c>
    </row>
    <row r="23">
      <c r="B23" s="4" t="inlineStr">
        <is>
          <t>Month</t>
        </is>
      </c>
      <c r="C23" s="4" t="inlineStr">
        <is>
          <t>Arrests</t>
        </is>
      </c>
    </row>
    <row r="24">
      <c r="B24" s="5" t="inlineStr">
        <is>
          <t>Jan</t>
        </is>
      </c>
      <c r="C24" s="5">
        <f>COUNTIFS(Arrest_Register!B2:B25,"&gt;="&amp;"2025-01-01",Arrest_Register!B2:B25,"&lt;"&amp;"2025-02-01")</f>
        <v/>
      </c>
    </row>
    <row r="25">
      <c r="B25" s="5" t="inlineStr">
        <is>
          <t>Feb</t>
        </is>
      </c>
      <c r="C25" s="5">
        <f>COUNTIFS(Arrest_Register!B2:B25,"&gt;="&amp;"2025-02-01",Arrest_Register!B2:B25,"&lt;"&amp;"2025-03-01")</f>
        <v/>
      </c>
    </row>
    <row r="26">
      <c r="B26" s="5" t="inlineStr">
        <is>
          <t>Mar</t>
        </is>
      </c>
      <c r="C26" s="5">
        <f>COUNTIFS(Arrest_Register!B2:B25,"&gt;="&amp;"2025-03-01",Arrest_Register!B2:B25,"&lt;"&amp;"2025-04-01")</f>
        <v/>
      </c>
    </row>
    <row r="27">
      <c r="B27" s="5" t="inlineStr">
        <is>
          <t>Apr</t>
        </is>
      </c>
      <c r="C27" s="5">
        <f>COUNTIFS(Arrest_Register!B2:B25,"&gt;="&amp;"2025-04-01",Arrest_Register!B2:B25,"&lt;"&amp;"2025-05-01")</f>
        <v/>
      </c>
    </row>
    <row r="28">
      <c r="B28" s="5" t="inlineStr">
        <is>
          <t>May</t>
        </is>
      </c>
      <c r="C28" s="5">
        <f>COUNTIFS(Arrest_Register!B2:B25,"&gt;="&amp;"2025-05-01",Arrest_Register!B2:B25,"&lt;"&amp;"2025-06-01")</f>
        <v/>
      </c>
    </row>
    <row r="29">
      <c r="B29" s="5" t="inlineStr">
        <is>
          <t>Jun</t>
        </is>
      </c>
      <c r="C29" s="5">
        <f>COUNTIFS(Arrest_Register!B2:B25,"&gt;="&amp;"2025-06-01",Arrest_Register!B2:B25,"&lt;"&amp;"2025-07-01")</f>
        <v/>
      </c>
    </row>
    <row r="30">
      <c r="B30" s="5" t="inlineStr">
        <is>
          <t>Jul</t>
        </is>
      </c>
      <c r="C30" s="5">
        <f>COUNTIFS(Arrest_Register!B2:B25,"&gt;="&amp;"2025-07-01",Arrest_Register!B2:B25,"&lt;"&amp;"2025-08-01")</f>
        <v/>
      </c>
    </row>
    <row r="31">
      <c r="B31" s="5" t="inlineStr">
        <is>
          <t>Aug</t>
        </is>
      </c>
      <c r="C31" s="5">
        <f>COUNTIFS(Arrest_Register!B2:B25,"&gt;="&amp;"2025-08-01",Arrest_Register!B2:B25,"&lt;"&amp;"2025-09-01")</f>
        <v/>
      </c>
    </row>
    <row r="32">
      <c r="B32" s="5" t="inlineStr">
        <is>
          <t>Sep</t>
        </is>
      </c>
      <c r="C32" s="5">
        <f>COUNTIFS(Arrest_Register!B2:B25,"&gt;="&amp;"2025-09-01",Arrest_Register!B2:B25,"&lt;"&amp;"2025-10-01")</f>
        <v/>
      </c>
    </row>
    <row r="33">
      <c r="B33" s="5" t="inlineStr">
        <is>
          <t>Oct</t>
        </is>
      </c>
      <c r="C33" s="5">
        <f>COUNTIFS(Arrest_Register!B2:B25,"&gt;="&amp;"2025-10-01",Arrest_Register!B2:B25,"&lt;"&amp;"2025-11-01")</f>
        <v/>
      </c>
    </row>
    <row r="34">
      <c r="B34" s="5" t="inlineStr">
        <is>
          <t>Nov</t>
        </is>
      </c>
      <c r="C34" s="5">
        <f>COUNTIFS(Arrest_Register!B2:B25,"&gt;="&amp;"2025-11-01",Arrest_Register!B2:B25,"&lt;"&amp;"2025-12-01")</f>
        <v/>
      </c>
    </row>
    <row r="35">
      <c r="B35" s="5" t="inlineStr">
        <is>
          <t>Dec</t>
        </is>
      </c>
      <c r="C35" s="5">
        <f>COUNTIFS(Arrest_Register!B2:B25,"&gt;="&amp;"2025-12-01",Arrest_Register!B2:B25,"&lt;"&amp;"2026-01-01")</f>
        <v/>
      </c>
    </row>
  </sheetData>
  <mergeCells count="9">
    <mergeCell ref="E4:F4"/>
    <mergeCell ref="B5:C5"/>
    <mergeCell ref="E5:F5"/>
    <mergeCell ref="K5:L5"/>
    <mergeCell ref="H5:I5"/>
    <mergeCell ref="H4:I4"/>
    <mergeCell ref="B2:K2"/>
    <mergeCell ref="K4:L4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  <col width="20" customWidth="1" min="9" max="9"/>
  </cols>
  <sheetData>
    <row r="1">
      <c r="A1" s="13" t="inlineStr">
        <is>
          <t>IntelSource</t>
        </is>
      </c>
      <c r="B1" s="13" t="inlineStr">
        <is>
          <t>Priority</t>
        </is>
      </c>
      <c r="C1" s="13" t="inlineStr">
        <is>
          <t>Parish</t>
        </is>
      </c>
      <c r="D1" s="13" t="inlineStr">
        <is>
          <t>YesNo</t>
        </is>
      </c>
      <c r="E1" s="13" t="inlineStr">
        <is>
          <t>RecordStatus</t>
        </is>
      </c>
      <c r="F1" s="13" t="inlineStr">
        <is>
          <t>FirearmsActOffence</t>
        </is>
      </c>
      <c r="G1" s="13" t="inlineStr">
        <is>
          <t>DDAOffence</t>
        </is>
      </c>
      <c r="H1" s="13" t="inlineStr">
        <is>
          <t>BailStatus</t>
        </is>
      </c>
      <c r="I1" s="13" t="inlineStr">
        <is>
          <t>CourtType</t>
        </is>
      </c>
    </row>
    <row r="2">
      <c r="A2" t="inlineStr">
        <is>
          <t>Crime Stop (311)</t>
        </is>
      </c>
      <c r="B2" t="inlineStr">
        <is>
          <t>Critical</t>
        </is>
      </c>
      <c r="C2" t="inlineStr">
        <is>
          <t>Manchester</t>
        </is>
      </c>
      <c r="D2" t="inlineStr">
        <is>
          <t>Yes</t>
        </is>
      </c>
      <c r="E2" t="inlineStr">
        <is>
          <t>Draft</t>
        </is>
      </c>
      <c r="F2" t="inlineStr">
        <is>
          <t>s.5 - Possession of Prohibited Weapon (15-25yr)</t>
        </is>
      </c>
      <c r="G2" t="inlineStr">
        <is>
          <t>Import/Export - Cannabis (DDA Part IIIA)</t>
        </is>
      </c>
      <c r="H2" t="inlineStr">
        <is>
          <t>Bail Granted</t>
        </is>
      </c>
      <c r="I2" t="inlineStr">
        <is>
          <t>Gun Court - High Court Division</t>
        </is>
      </c>
    </row>
    <row r="3">
      <c r="A3" t="inlineStr">
        <is>
          <t>NIB (811)</t>
        </is>
      </c>
      <c r="B3" t="inlineStr">
        <is>
          <t>High</t>
        </is>
      </c>
      <c r="C3" t="inlineStr">
        <is>
          <t>St. Elizabeth</t>
        </is>
      </c>
      <c r="D3" t="inlineStr">
        <is>
          <t>No</t>
        </is>
      </c>
      <c r="E3" t="inlineStr">
        <is>
          <t>Submitted</t>
        </is>
      </c>
      <c r="F3" t="inlineStr">
        <is>
          <t>s.6 - Stockpiling (3+ weapons / 50+ rounds)</t>
        </is>
      </c>
      <c r="G3" t="inlineStr">
        <is>
          <t>Import/Export - Cocaine (DDA Part IV)</t>
        </is>
      </c>
      <c r="H3" t="inlineStr">
        <is>
          <t>Bail Denied</t>
        </is>
      </c>
      <c r="I3" t="inlineStr">
        <is>
          <t>Gun Court - Circuit Court Division</t>
        </is>
      </c>
    </row>
    <row r="4">
      <c r="A4" t="inlineStr">
        <is>
          <t>Informant</t>
        </is>
      </c>
      <c r="B4" t="inlineStr">
        <is>
          <t>Medium</t>
        </is>
      </c>
      <c r="C4" t="inlineStr">
        <is>
          <t>Clarendon</t>
        </is>
      </c>
      <c r="E4" t="inlineStr">
        <is>
          <t>Edited</t>
        </is>
      </c>
      <c r="F4" t="inlineStr">
        <is>
          <t>s.7 - Trafficking in Prohibited Weapon (20yr min)</t>
        </is>
      </c>
      <c r="G4" t="inlineStr">
        <is>
          <t>Dealing/Trafficking - Cannabis</t>
        </is>
      </c>
      <c r="H4" t="inlineStr">
        <is>
          <t>Remanded in Custody</t>
        </is>
      </c>
      <c r="I4" t="inlineStr">
        <is>
          <t>Gun Court - RM Division</t>
        </is>
      </c>
    </row>
    <row r="5">
      <c r="A5" t="inlineStr">
        <is>
          <t>DEA</t>
        </is>
      </c>
      <c r="B5" t="inlineStr">
        <is>
          <t>Low</t>
        </is>
      </c>
      <c r="C5" t="inlineStr">
        <is>
          <t>Kingston</t>
        </is>
      </c>
      <c r="F5" t="inlineStr">
        <is>
          <t>s.8 - Possession with Intent to Traffic</t>
        </is>
      </c>
      <c r="G5" t="inlineStr">
        <is>
          <t>Dealing/Trafficking - Cocaine</t>
        </is>
      </c>
      <c r="H5" t="inlineStr">
        <is>
          <t>Released - No Charge</t>
        </is>
      </c>
      <c r="I5" t="inlineStr">
        <is>
          <t>Parish Court</t>
        </is>
      </c>
    </row>
    <row r="6">
      <c r="A6" t="inlineStr">
        <is>
          <t>ATF</t>
        </is>
      </c>
      <c r="C6" t="inlineStr">
        <is>
          <t>St. Andrew</t>
        </is>
      </c>
      <c r="F6" t="inlineStr">
        <is>
          <t>s.9 - Manufacture of Prohibited Weapon</t>
        </is>
      </c>
      <c r="G6" t="inlineStr">
        <is>
          <t>Possession - Cannabis (&gt;2oz)</t>
        </is>
      </c>
      <c r="H6" t="inlineStr">
        <is>
          <t>Released - Insufficient Evidence</t>
        </is>
      </c>
      <c r="I6" t="inlineStr">
        <is>
          <t>Circuit Court</t>
        </is>
      </c>
    </row>
    <row r="7">
      <c r="A7" t="inlineStr">
        <is>
          <t>HSI</t>
        </is>
      </c>
      <c r="C7" t="inlineStr">
        <is>
          <t>St. Thomas</t>
        </is>
      </c>
      <c r="F7" t="inlineStr">
        <is>
          <t>s.10 - Dealing in Prohibited Weapon</t>
        </is>
      </c>
      <c r="G7" t="inlineStr">
        <is>
          <t>Possession - Cocaine</t>
        </is>
      </c>
      <c r="H7" t="inlineStr">
        <is>
          <t>Stop Order Issued</t>
        </is>
      </c>
      <c r="I7" t="inlineStr">
        <is>
          <t>Supreme Court</t>
        </is>
      </c>
    </row>
    <row r="8">
      <c r="A8" t="inlineStr">
        <is>
          <t>MOCA</t>
        </is>
      </c>
      <c r="C8" t="inlineStr">
        <is>
          <t>Portland</t>
        </is>
      </c>
      <c r="F8" t="inlineStr">
        <is>
          <t>s.12 - Diversion of Lawful Firearms</t>
        </is>
      </c>
      <c r="G8" t="inlineStr">
        <is>
          <t>Cultivation - Cannabis (&gt;5 plants)</t>
        </is>
      </c>
      <c r="H8" t="inlineStr">
        <is>
          <t>Electronic Monitoring</t>
        </is>
      </c>
    </row>
    <row r="9">
      <c r="A9" t="inlineStr">
        <is>
          <t>JCA Detection</t>
        </is>
      </c>
      <c r="C9" t="inlineStr">
        <is>
          <t>St. Mary</t>
        </is>
      </c>
      <c r="F9" t="inlineStr">
        <is>
          <t>s.29 - Unmarked Firearm</t>
        </is>
      </c>
      <c r="G9" t="inlineStr">
        <is>
          <t>Deemed Dealing - School Premises</t>
        </is>
      </c>
    </row>
    <row r="10">
      <c r="A10" t="inlineStr">
        <is>
          <t>Divisional CIB</t>
        </is>
      </c>
      <c r="C10" t="inlineStr">
        <is>
          <t>St. Ann</t>
        </is>
      </c>
      <c r="F10" t="inlineStr">
        <is>
          <t>Shooting with Intent</t>
        </is>
      </c>
    </row>
    <row r="11">
      <c r="A11" t="inlineStr">
        <is>
          <t>Patrol Intercept</t>
        </is>
      </c>
      <c r="C11" t="inlineStr">
        <is>
          <t>Trelawny</t>
        </is>
      </c>
      <c r="F11" t="inlineStr">
        <is>
          <t>Illegal Possession of Ammunition</t>
        </is>
      </c>
    </row>
    <row r="12">
      <c r="A12" t="inlineStr">
        <is>
          <t>C-TOC/SIB</t>
        </is>
      </c>
      <c r="C12" t="inlineStr">
        <is>
          <t>St. James</t>
        </is>
      </c>
      <c r="F12" t="inlineStr">
        <is>
          <t>Wounding with Intent (firearm)</t>
        </is>
      </c>
    </row>
    <row r="13">
      <c r="A13" t="inlineStr">
        <is>
          <t>INTERPOL</t>
        </is>
      </c>
      <c r="C13" t="inlineStr">
        <is>
          <t>Hanover</t>
        </is>
      </c>
    </row>
    <row r="14">
      <c r="A14" t="inlineStr">
        <is>
          <t>Walk-In Report</t>
        </is>
      </c>
      <c r="C14" t="inlineStr">
        <is>
          <t>Westmoreland</t>
        </is>
      </c>
    </row>
    <row r="15">
      <c r="A15" t="inlineStr">
        <is>
          <t>FNID Direct (923-6184)</t>
        </is>
      </c>
      <c r="C15" t="inlineStr">
        <is>
          <t>St. Catherine</t>
        </is>
      </c>
    </row>
    <row r="16">
      <c r="A16" t="inlineStr">
        <is>
          <t>UK NCA</t>
        </is>
      </c>
    </row>
    <row r="17">
      <c r="A17" t="inlineStr">
        <is>
          <t>US Marshals</t>
        </is>
      </c>
    </row>
    <row r="18">
      <c r="A18" t="inlineStr">
        <is>
          <t>Anonymous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2026-02-27T06:20:07Z</dcterms:created>
  <dcterms:modified xmlns:dcterms="http://purl.org/dc/terms/" xmlns:xsi="http://www.w3.org/2001/XMLSchema-instance" xsi:type="dcterms:W3CDTF">2026-02-27T06:20:07Z</dcterms:modified>
</cp:coreProperties>
</file>