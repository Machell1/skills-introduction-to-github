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ME" sheetId="1" state="visible" r:id="rId1"/>
    <sheet xmlns:r="http://schemas.openxmlformats.org/officeDocument/2006/relationships" name="Chain_of_Custody" sheetId="2" state="visible" r:id="rId2"/>
    <sheet xmlns:r="http://schemas.openxmlformats.org/officeDocument/2006/relationships" name="Lab_Tracking" sheetId="3" state="visible" r:id="rId3"/>
    <sheet xmlns:r="http://schemas.openxmlformats.org/officeDocument/2006/relationships" name="Dashboard" sheetId="4" state="visible" r:id="rId4"/>
    <sheet xmlns:r="http://schemas.openxmlformats.org/officeDocument/2006/relationships" name="Looku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538135"/>
      <sz val="20"/>
    </font>
    <font>
      <name val="Calibri"/>
      <i val="1"/>
      <color rgb="00808080"/>
      <sz val="11"/>
    </font>
    <font>
      <name val="Calibri"/>
      <b val="1"/>
      <color rgb="00002060"/>
      <sz val="12"/>
    </font>
    <font>
      <name val="Calibri"/>
      <b val="1"/>
      <sz val="10"/>
    </font>
    <font>
      <name val="Calibri"/>
      <sz val="10"/>
    </font>
    <font>
      <name val="Calibri"/>
      <color rgb="00808080"/>
      <sz val="9"/>
    </font>
    <font>
      <name val="Calibri"/>
      <b val="1"/>
      <color rgb="00FFFFFF"/>
      <sz val="10"/>
    </font>
    <font>
      <name val="Calibri"/>
      <b val="1"/>
      <color rgb="001F3864"/>
      <sz val="16"/>
    </font>
    <font>
      <name val="Calibri"/>
      <b val="1"/>
      <color rgb="001F3864"/>
      <sz val="24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8" fillId="0" borderId="0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7" fillId="2" borderId="0" pivotButton="0" quotePrefix="0" xfId="0"/>
  </cellXfs>
  <cellStyles count="1">
    <cellStyle name="Normal" xfId="0" builtinId="0" hidden="0"/>
  </cellStyles>
  <dxfs count="4">
    <dxf>
      <fill>
        <patternFill patternType="solid">
          <fgColor rgb="00FFF2CC"/>
        </patternFill>
      </fill>
    </dxf>
    <dxf>
      <fill>
        <patternFill patternType="solid">
          <fgColor rgb="00D9EAD3"/>
        </patternFill>
      </fill>
    </dxf>
    <dxf>
      <fill>
        <patternFill patternType="solid">
          <fgColor rgb="00D0E0F0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Exhibits by Type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'Dashboard'!$B$9:$B$14</f>
            </numRef>
          </cat>
          <val>
            <numRef>
              <f>'Dashboard'!$C$9:$C$14</f>
            </numRef>
          </val>
        </ser>
        <dLbls>
          <showVal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Forensic Certificate Pipeline</a:t>
            </a:r>
          </a:p>
        </rich>
      </tx>
    </title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'Dashboard'!$B$18:$B$22</f>
            </numRef>
          </cat>
          <val>
            <numRef>
              <f>'Dashboard'!$C$18:$C$22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IBIS Status Distribution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'Dashboard'!$B$26:$B$30</f>
            </numRef>
          </cat>
          <val>
            <numRef>
              <f>'Dashboard'!$C$26:$C$30</f>
            </numRef>
          </val>
        </ser>
        <dLbls>
          <showVal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4</col>
      <colOff>0</colOff>
      <row>7</row>
      <rowOff>0</rowOff>
    </from>
    <ext cx="504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16</row>
      <rowOff>0</rowOff>
    </from>
    <ext cx="504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4</col>
      <colOff>0</colOff>
      <row>24</row>
      <rowOff>0</rowOff>
    </from>
    <ext cx="504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_ChainOfCustody" displayName="tbl_ChainOfCustody" ref="A1:S24" headerRowCount="1">
  <autoFilter ref="A1:S24"/>
  <tableColumns count="19">
    <tableColumn id="1" name="ExhibitTag"/>
    <tableColumn id="2" name="ExhibitType"/>
    <tableColumn id="3" name="Description"/>
    <tableColumn id="4" name="LinkedCaseID"/>
    <tableColumn id="5" name="LinkedSeizureID"/>
    <tableColumn id="6" name="SeizedDate"/>
    <tableColumn id="7" name="SeizedBy"/>
    <tableColumn id="8" name="SeizedLocation"/>
    <tableColumn id="9" name="CurrentCustodian"/>
    <tableColumn id="10" name="StorageLocation"/>
    <tableColumn id="11" name="TransferDate"/>
    <tableColumn id="12" name="TransferFrom"/>
    <tableColumn id="13" name="TransferTo"/>
    <tableColumn id="14" name="TransferReason"/>
    <tableColumn id="15" name="Condition"/>
    <tableColumn id="16" name="PhotosTaken"/>
    <tableColumn id="17" name="SealIntact"/>
    <tableColumn id="18" name="DisposalStatus"/>
    <tableColumn id="19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_LabTracking" displayName="tbl_LabTracking" ref="A1:Q24" headerRowCount="1">
  <autoFilter ref="A1:Q24"/>
  <tableColumns count="17">
    <tableColumn id="1" name="LabRef"/>
    <tableColumn id="2" name="ExhibitTag"/>
    <tableColumn id="3" name="LinkedCaseID"/>
    <tableColumn id="4" name="SubmissionDate"/>
    <tableColumn id="5" name="LabType"/>
    <tableColumn id="6" name="ExamType"/>
    <tableColumn id="7" name="Analyst"/>
    <tableColumn id="8" name="ExpectedDate"/>
    <tableColumn id="9" name="ActualCompletionDate"/>
    <tableColumn id="10" name="CertificateNumber"/>
    <tableColumn id="11" name="CertificateStatus"/>
    <tableColumn id="12" name="Result"/>
    <tableColumn id="13" name="CollectedBy"/>
    <tableColumn id="14" name="CollectionDate"/>
    <tableColumn id="15" name="IBIS_Status"/>
    <tableColumn id="16" name="eTrace_Status"/>
    <tableColumn id="17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538135"/>
    <outlinePr summaryBelow="1" summaryRight="1"/>
    <pageSetUpPr/>
  </sheetPr>
  <dimension ref="B2:C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50" customWidth="1" min="2" max="2"/>
    <col width="40" customWidth="1" min="3" max="3"/>
  </cols>
  <sheetData>
    <row r="2">
      <c r="B2" s="1" t="inlineStr">
        <is>
          <t>FNID AREA 3 - FORENSICS &amp; EVIDENCE UNIT PORTAL</t>
        </is>
      </c>
    </row>
    <row r="3">
      <c r="B3" s="2" t="inlineStr">
        <is>
          <t>Jamaica Constabulary Force | Manchester | St. Elizabeth | Clarendon</t>
        </is>
      </c>
    </row>
    <row r="5">
      <c r="B5" s="3" t="inlineStr">
        <is>
          <t>PORTAL NAVIGATION</t>
        </is>
      </c>
    </row>
    <row r="6">
      <c r="B6" s="4" t="inlineStr">
        <is>
          <t xml:space="preserve">  Chain_of_Custody</t>
        </is>
      </c>
      <c r="C6" s="5" t="inlineStr">
        <is>
          <t>Exhibit chain of custody log</t>
        </is>
      </c>
    </row>
    <row r="7">
      <c r="B7" s="4" t="inlineStr">
        <is>
          <t xml:space="preserve">  Lab_Tracking</t>
        </is>
      </c>
      <c r="C7" s="5" t="inlineStr">
        <is>
          <t>Forensic lab submission and certificate tracking</t>
        </is>
      </c>
    </row>
    <row r="8">
      <c r="B8" s="4" t="inlineStr">
        <is>
          <t xml:space="preserve">  Dashboard</t>
        </is>
      </c>
      <c r="C8" s="5" t="inlineStr">
        <is>
          <t>Forensic pipeline KPIs and charts</t>
        </is>
      </c>
    </row>
    <row r="9">
      <c r="B9" s="4" t="inlineStr">
        <is>
          <t xml:space="preserve">  Lookups</t>
        </is>
      </c>
      <c r="C9" s="5" t="inlineStr">
        <is>
          <t>Dropdown reference data</t>
        </is>
      </c>
    </row>
    <row r="11">
      <c r="B11" s="3" t="inlineStr">
        <is>
          <t>SUBMISSION WORKFLOW</t>
        </is>
      </c>
    </row>
    <row r="12">
      <c r="B12" s="5" t="inlineStr">
        <is>
          <t>1. Enter data in the data entry sheet(s)</t>
        </is>
      </c>
    </row>
    <row r="13">
      <c r="B13" s="5" t="inlineStr">
        <is>
          <t>2. Set RecordStatus to 'Draft' while working</t>
        </is>
      </c>
    </row>
    <row r="14">
      <c r="B14" s="5" t="inlineStr">
        <is>
          <t>3. Fill SubmittedBy with your name/badge when ready</t>
        </is>
      </c>
    </row>
    <row r="15">
      <c r="B15" s="5" t="inlineStr">
        <is>
          <t>4. Change RecordStatus to 'Submitted' to finalize</t>
        </is>
      </c>
    </row>
    <row r="16">
      <c r="B16" s="5" t="inlineStr">
        <is>
          <t>5. To edit a submitted record, change status to 'Edited'</t>
        </is>
      </c>
    </row>
    <row r="17">
      <c r="B17" s="5" t="inlineStr">
        <is>
          <t>6. Use the Dashboard sheet to view KPIs and charts</t>
        </is>
      </c>
    </row>
    <row r="19">
      <c r="B19" s="6" t="inlineStr">
        <is>
          <t>Generated: 2026-02-27 06:20</t>
        </is>
      </c>
    </row>
  </sheetData>
  <mergeCells count="2">
    <mergeCell ref="B3:C3"/>
    <mergeCell ref="B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538135"/>
    <outlinePr summaryBelow="1" summaryRight="1"/>
    <pageSetUpPr/>
  </sheetPr>
  <dimension ref="A1:X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8" customWidth="1" min="3" max="3"/>
    <col width="14" customWidth="1" min="4" max="4"/>
    <col width="14" customWidth="1" min="5" max="5"/>
    <col width="12" customWidth="1" min="6" max="6"/>
    <col width="16" customWidth="1" min="7" max="7"/>
    <col width="22" customWidth="1" min="8" max="8"/>
    <col width="16" customWidth="1" min="9" max="9"/>
    <col width="18" customWidth="1" min="10" max="10"/>
    <col width="12" customWidth="1" min="11" max="11"/>
    <col width="16" customWidth="1" min="12" max="12"/>
    <col width="16" customWidth="1" min="13" max="13"/>
    <col width="20" customWidth="1" min="14" max="14"/>
    <col width="14" customWidth="1" min="15" max="15"/>
    <col width="10" customWidth="1" min="16" max="16"/>
    <col width="10" customWidth="1" min="17" max="17"/>
    <col width="22" customWidth="1" min="18" max="18"/>
    <col width="28" customWidth="1" min="19" max="19"/>
    <col width="14" customWidth="1" min="20" max="20"/>
    <col width="16" customWidth="1" min="21" max="21"/>
    <col width="14" customWidth="1" min="22" max="22"/>
    <col width="16" customWidth="1" min="23" max="23"/>
    <col width="14" customWidth="1" min="24" max="24"/>
  </cols>
  <sheetData>
    <row r="1">
      <c r="A1" s="7" t="inlineStr">
        <is>
          <t>ExhibitTag</t>
        </is>
      </c>
      <c r="B1" s="7" t="inlineStr">
        <is>
          <t>ExhibitType</t>
        </is>
      </c>
      <c r="C1" s="7" t="inlineStr">
        <is>
          <t>Description</t>
        </is>
      </c>
      <c r="D1" s="7" t="inlineStr">
        <is>
          <t>LinkedCaseID</t>
        </is>
      </c>
      <c r="E1" s="7" t="inlineStr">
        <is>
          <t>LinkedSeizureID</t>
        </is>
      </c>
      <c r="F1" s="7" t="inlineStr">
        <is>
          <t>SeizedDate</t>
        </is>
      </c>
      <c r="G1" s="7" t="inlineStr">
        <is>
          <t>SeizedBy</t>
        </is>
      </c>
      <c r="H1" s="7" t="inlineStr">
        <is>
          <t>SeizedLocation</t>
        </is>
      </c>
      <c r="I1" s="7" t="inlineStr">
        <is>
          <t>CurrentCustodian</t>
        </is>
      </c>
      <c r="J1" s="7" t="inlineStr">
        <is>
          <t>StorageLocation</t>
        </is>
      </c>
      <c r="K1" s="7" t="inlineStr">
        <is>
          <t>TransferDate</t>
        </is>
      </c>
      <c r="L1" s="7" t="inlineStr">
        <is>
          <t>TransferFrom</t>
        </is>
      </c>
      <c r="M1" s="7" t="inlineStr">
        <is>
          <t>TransferTo</t>
        </is>
      </c>
      <c r="N1" s="7" t="inlineStr">
        <is>
          <t>TransferReason</t>
        </is>
      </c>
      <c r="O1" s="7" t="inlineStr">
        <is>
          <t>Condition</t>
        </is>
      </c>
      <c r="P1" s="7" t="inlineStr">
        <is>
          <t>PhotosTaken</t>
        </is>
      </c>
      <c r="Q1" s="7" t="inlineStr">
        <is>
          <t>SealIntact</t>
        </is>
      </c>
      <c r="R1" s="7" t="inlineStr">
        <is>
          <t>DisposalStatus</t>
        </is>
      </c>
      <c r="S1" s="7" t="inlineStr">
        <is>
          <t>Notes</t>
        </is>
      </c>
      <c r="T1" s="7" t="inlineStr">
        <is>
          <t>RecordStatus</t>
        </is>
      </c>
      <c r="U1" s="7" t="inlineStr">
        <is>
          <t>SubmittedBy</t>
        </is>
      </c>
      <c r="V1" s="7" t="inlineStr">
        <is>
          <t>SubmittedDate</t>
        </is>
      </c>
      <c r="W1" s="7" t="inlineStr">
        <is>
          <t>LastEditedBy</t>
        </is>
      </c>
      <c r="X1" s="7" t="inlineStr">
        <is>
          <t>LastEditedDate</t>
        </is>
      </c>
    </row>
    <row r="2">
      <c r="A2" s="8" t="inlineStr">
        <is>
          <t>EXH-FA-001</t>
        </is>
      </c>
      <c r="B2" s="8" t="inlineStr">
        <is>
          <t>Firearm</t>
        </is>
      </c>
      <c r="C2" s="8" t="inlineStr">
        <is>
          <t>Glock 19 9mm pistol</t>
        </is>
      </c>
      <c r="D2" s="8" t="inlineStr">
        <is>
          <t>CR-2025-001</t>
        </is>
      </c>
      <c r="E2" s="8" t="inlineStr">
        <is>
          <t>FS-2025-001</t>
        </is>
      </c>
      <c r="F2" s="8" t="inlineStr">
        <is>
          <t>2025-01-20</t>
        </is>
      </c>
      <c r="G2" s="8" t="inlineStr">
        <is>
          <t>DC Williams</t>
        </is>
      </c>
      <c r="H2" s="8" t="inlineStr">
        <is>
          <t>Mandeville</t>
        </is>
      </c>
      <c r="I2" s="8" t="inlineStr">
        <is>
          <t>FNID Armoury NCO</t>
        </is>
      </c>
      <c r="J2" s="8" t="inlineStr">
        <is>
          <t>FNID Armoury Cage A</t>
        </is>
      </c>
      <c r="K2" s="8" t="inlineStr">
        <is>
          <t>2025-01-21</t>
        </is>
      </c>
      <c r="L2" s="8" t="inlineStr">
        <is>
          <t>DC Williams</t>
        </is>
      </c>
      <c r="M2" s="8" t="inlineStr">
        <is>
          <t>FNID Armoury NCO</t>
        </is>
      </c>
      <c r="N2" s="8" t="inlineStr">
        <is>
          <t>Evidence booking</t>
        </is>
      </c>
      <c r="O2" s="8" t="inlineStr">
        <is>
          <t>Good</t>
        </is>
      </c>
      <c r="P2" s="8" t="inlineStr">
        <is>
          <t>Yes</t>
        </is>
      </c>
      <c r="Q2" s="8" t="inlineStr">
        <is>
          <t>Yes</t>
        </is>
      </c>
      <c r="R2" s="8" t="inlineStr">
        <is>
          <t>Held - Active Case</t>
        </is>
      </c>
      <c r="S2" s="8" t="inlineStr"/>
    </row>
    <row r="3">
      <c r="A3" s="8" t="inlineStr">
        <is>
          <t>EXH-FA-005</t>
        </is>
      </c>
      <c r="B3" s="8" t="inlineStr">
        <is>
          <t>Firearm</t>
        </is>
      </c>
      <c r="C3" s="8" t="inlineStr">
        <is>
          <t>Taurus G2C 9mm - IBIS Hit</t>
        </is>
      </c>
      <c r="D3" s="8" t="inlineStr">
        <is>
          <t>CR-2025-003</t>
        </is>
      </c>
      <c r="E3" s="8" t="inlineStr">
        <is>
          <t>FS-2025-005</t>
        </is>
      </c>
      <c r="F3" s="8" t="inlineStr">
        <is>
          <t>2025-03-05</t>
        </is>
      </c>
      <c r="G3" s="8" t="inlineStr">
        <is>
          <t>DC Thompson</t>
        </is>
      </c>
      <c r="H3" s="8" t="inlineStr">
        <is>
          <t>Christiana</t>
        </is>
      </c>
      <c r="I3" s="8" t="inlineStr">
        <is>
          <t>IFSLM Ballistics</t>
        </is>
      </c>
      <c r="J3" s="8" t="inlineStr">
        <is>
          <t>IFSLM Lab</t>
        </is>
      </c>
      <c r="K3" s="8" t="inlineStr">
        <is>
          <t>2025-03-08</t>
        </is>
      </c>
      <c r="L3" s="8" t="inlineStr">
        <is>
          <t>FNID Armoury NCO</t>
        </is>
      </c>
      <c r="M3" s="8" t="inlineStr">
        <is>
          <t>IFSLM Ballistics</t>
        </is>
      </c>
      <c r="N3" s="8" t="inlineStr">
        <is>
          <t>IBIS confirmation testing</t>
        </is>
      </c>
      <c r="O3" s="8" t="inlineStr">
        <is>
          <t>Good</t>
        </is>
      </c>
      <c r="P3" s="8" t="inlineStr">
        <is>
          <t>Yes</t>
        </is>
      </c>
      <c r="Q3" s="8" t="inlineStr">
        <is>
          <t>Yes</t>
        </is>
      </c>
      <c r="R3" s="8" t="inlineStr">
        <is>
          <t>Held - Active Case</t>
        </is>
      </c>
      <c r="S3" s="8" t="inlineStr">
        <is>
          <t>IBIS hit linked to Kingston shooting</t>
        </is>
      </c>
    </row>
    <row r="4">
      <c r="A4" s="8" t="inlineStr">
        <is>
          <t>EXH-NA-001</t>
        </is>
      </c>
      <c r="B4" s="8" t="inlineStr">
        <is>
          <t>Drug Sample</t>
        </is>
      </c>
      <c r="C4" s="8" t="inlineStr">
        <is>
          <t>32kg cocaine from vessel</t>
        </is>
      </c>
      <c r="D4" s="8" t="inlineStr">
        <is>
          <t>CR-2025-002</t>
        </is>
      </c>
      <c r="E4" s="8" t="inlineStr">
        <is>
          <t>NS-2025-001</t>
        </is>
      </c>
      <c r="F4" s="8" t="inlineStr">
        <is>
          <t>2025-01-25</t>
        </is>
      </c>
      <c r="G4" s="8" t="inlineStr">
        <is>
          <t>Supt. Davis</t>
        </is>
      </c>
      <c r="H4" s="8" t="inlineStr">
        <is>
          <t>Black River Bay</t>
        </is>
      </c>
      <c r="I4" s="8" t="inlineStr">
        <is>
          <t>IFSLM Chemistry</t>
        </is>
      </c>
      <c r="J4" s="8" t="inlineStr">
        <is>
          <t>IFSLM Lab</t>
        </is>
      </c>
      <c r="K4" s="8" t="inlineStr">
        <is>
          <t>2025-01-28</t>
        </is>
      </c>
      <c r="L4" s="8" t="inlineStr">
        <is>
          <t>FNID Evidence NCO</t>
        </is>
      </c>
      <c r="M4" s="8" t="inlineStr">
        <is>
          <t>IFSLM Chemistry</t>
        </is>
      </c>
      <c r="N4" s="8" t="inlineStr">
        <is>
          <t>Purity analysis</t>
        </is>
      </c>
      <c r="O4" s="8" t="inlineStr">
        <is>
          <t>Sealed</t>
        </is>
      </c>
      <c r="P4" s="8" t="inlineStr">
        <is>
          <t>Yes</t>
        </is>
      </c>
      <c r="Q4" s="8" t="inlineStr">
        <is>
          <t>Yes</t>
        </is>
      </c>
      <c r="R4" s="8" t="inlineStr">
        <is>
          <t>Held - Active Case</t>
        </is>
      </c>
      <c r="S4" s="8" t="inlineStr">
        <is>
          <t>Bulk stored at FNID, sample sent to IFSLM</t>
        </is>
      </c>
    </row>
    <row r="5">
      <c r="A5" s="8" t="n"/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  <c r="S7" s="8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</row>
  </sheetData>
  <conditionalFormatting sqref="T2:T1000">
    <cfRule type="cellIs" priority="1" operator="equal" dxfId="0">
      <formula>"Draft"</formula>
    </cfRule>
    <cfRule type="cellIs" priority="2" operator="equal" dxfId="1">
      <formula>"Submitted"</formula>
    </cfRule>
    <cfRule type="cellIs" priority="3" operator="equal" dxfId="2">
      <formula>"Edited"</formula>
    </cfRule>
  </conditionalFormatting>
  <dataValidations count="3">
    <dataValidation sqref="T2:T24" showDropDown="0" showInputMessage="0" showErrorMessage="0" allowBlank="1" errorTitle="Invalid" error="Select from dropdown" type="list">
      <formula1>"Draft,Submitted,Edited"</formula1>
    </dataValidation>
    <dataValidation sqref="B2:B500" showDropDown="0" showInputMessage="0" showErrorMessage="0" allowBlank="1" errorTitle="Invalid" error="Select from dropdown" type="list">
      <formula1>Lookups!$F$2:$F$15</formula1>
    </dataValidation>
    <dataValidation sqref="R2:R500" showDropDown="0" showInputMessage="0" showErrorMessage="0" allowBlank="1" errorTitle="Invalid" error="Select from dropdown" type="list">
      <formula1>Lookups!$J$2:$J$10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538135"/>
    <outlinePr summaryBelow="1" summaryRight="1"/>
    <pageSetUpPr/>
  </sheetPr>
  <dimension ref="A1:V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2" customWidth="1" min="4" max="4"/>
    <col width="14" customWidth="1" min="5" max="5"/>
    <col width="18" customWidth="1" min="6" max="6"/>
    <col width="16" customWidth="1" min="7" max="7"/>
    <col width="12" customWidth="1" min="8" max="8"/>
    <col width="14" customWidth="1" min="9" max="9"/>
    <col width="16" customWidth="1" min="10" max="10"/>
    <col width="16" customWidth="1" min="11" max="11"/>
    <col width="20" customWidth="1" min="12" max="12"/>
    <col width="16" customWidth="1" min="13" max="13"/>
    <col width="12" customWidth="1" min="14" max="14"/>
    <col width="16" customWidth="1" min="15" max="15"/>
    <col width="16" customWidth="1" min="16" max="16"/>
    <col width="28" customWidth="1" min="17" max="17"/>
    <col width="14" customWidth="1" min="18" max="18"/>
    <col width="16" customWidth="1" min="19" max="19"/>
    <col width="14" customWidth="1" min="20" max="20"/>
    <col width="16" customWidth="1" min="21" max="21"/>
    <col width="14" customWidth="1" min="22" max="22"/>
  </cols>
  <sheetData>
    <row r="1">
      <c r="A1" s="7" t="inlineStr">
        <is>
          <t>LabRef</t>
        </is>
      </c>
      <c r="B1" s="7" t="inlineStr">
        <is>
          <t>ExhibitTag</t>
        </is>
      </c>
      <c r="C1" s="7" t="inlineStr">
        <is>
          <t>LinkedCaseID</t>
        </is>
      </c>
      <c r="D1" s="7" t="inlineStr">
        <is>
          <t>SubmissionDate</t>
        </is>
      </c>
      <c r="E1" s="7" t="inlineStr">
        <is>
          <t>LabType</t>
        </is>
      </c>
      <c r="F1" s="7" t="inlineStr">
        <is>
          <t>ExamType</t>
        </is>
      </c>
      <c r="G1" s="7" t="inlineStr">
        <is>
          <t>Analyst</t>
        </is>
      </c>
      <c r="H1" s="7" t="inlineStr">
        <is>
          <t>ExpectedDate</t>
        </is>
      </c>
      <c r="I1" s="7" t="inlineStr">
        <is>
          <t>ActualCompletionDate</t>
        </is>
      </c>
      <c r="J1" s="7" t="inlineStr">
        <is>
          <t>CertificateNumber</t>
        </is>
      </c>
      <c r="K1" s="7" t="inlineStr">
        <is>
          <t>CertificateStatus</t>
        </is>
      </c>
      <c r="L1" s="7" t="inlineStr">
        <is>
          <t>Result</t>
        </is>
      </c>
      <c r="M1" s="7" t="inlineStr">
        <is>
          <t>CollectedBy</t>
        </is>
      </c>
      <c r="N1" s="7" t="inlineStr">
        <is>
          <t>CollectionDate</t>
        </is>
      </c>
      <c r="O1" s="7" t="inlineStr">
        <is>
          <t>IBIS_Status</t>
        </is>
      </c>
      <c r="P1" s="7" t="inlineStr">
        <is>
          <t>eTrace_Status</t>
        </is>
      </c>
      <c r="Q1" s="7" t="inlineStr">
        <is>
          <t>Notes</t>
        </is>
      </c>
      <c r="R1" s="7" t="inlineStr">
        <is>
          <t>RecordStatus</t>
        </is>
      </c>
      <c r="S1" s="7" t="inlineStr">
        <is>
          <t>SubmittedBy</t>
        </is>
      </c>
      <c r="T1" s="7" t="inlineStr">
        <is>
          <t>SubmittedDate</t>
        </is>
      </c>
      <c r="U1" s="7" t="inlineStr">
        <is>
          <t>LastEditedBy</t>
        </is>
      </c>
      <c r="V1" s="7" t="inlineStr">
        <is>
          <t>LastEditedDate</t>
        </is>
      </c>
    </row>
    <row r="2">
      <c r="A2" s="8" t="inlineStr">
        <is>
          <t>LAB-2025-001</t>
        </is>
      </c>
      <c r="B2" s="8" t="inlineStr">
        <is>
          <t>EXH-FA-001</t>
        </is>
      </c>
      <c r="C2" s="8" t="inlineStr">
        <is>
          <t>CR-2025-001</t>
        </is>
      </c>
      <c r="D2" s="8" t="inlineStr">
        <is>
          <t>2025-01-22</t>
        </is>
      </c>
      <c r="E2" s="8" t="inlineStr">
        <is>
          <t>Ballistics</t>
        </is>
      </c>
      <c r="F2" s="8" t="inlineStr">
        <is>
          <t>Firearm identification &amp; test fire</t>
        </is>
      </c>
      <c r="G2" s="8" t="inlineStr">
        <is>
          <t>Dr. Patel</t>
        </is>
      </c>
      <c r="H2" s="8" t="inlineStr">
        <is>
          <t>2025-03-22</t>
        </is>
      </c>
      <c r="I2" s="8" t="inlineStr"/>
      <c r="J2" s="8" t="inlineStr"/>
      <c r="K2" s="8" t="inlineStr">
        <is>
          <t>Submitted to IFSLM</t>
        </is>
      </c>
      <c r="L2" s="8" t="inlineStr"/>
      <c r="M2" s="8" t="inlineStr"/>
      <c r="N2" s="8" t="inlineStr"/>
      <c r="O2" s="8" t="inlineStr">
        <is>
          <t>Submitted - Pending</t>
        </is>
      </c>
      <c r="P2" s="8" t="inlineStr">
        <is>
          <t>Submitted - Pending</t>
        </is>
      </c>
      <c r="Q2" s="8" t="inlineStr">
        <is>
          <t>Standard turnaround 8 weeks</t>
        </is>
      </c>
    </row>
    <row r="3">
      <c r="A3" s="8" t="inlineStr">
        <is>
          <t>LAB-2025-002</t>
        </is>
      </c>
      <c r="B3" s="8" t="inlineStr">
        <is>
          <t>EXH-FA-005</t>
        </is>
      </c>
      <c r="C3" s="8" t="inlineStr">
        <is>
          <t>CR-2025-003</t>
        </is>
      </c>
      <c r="D3" s="8" t="inlineStr">
        <is>
          <t>2025-03-08</t>
        </is>
      </c>
      <c r="E3" s="8" t="inlineStr">
        <is>
          <t>Ballistics</t>
        </is>
      </c>
      <c r="F3" s="8" t="inlineStr">
        <is>
          <t>IBIS confirmation + test fire</t>
        </is>
      </c>
      <c r="G3" s="8" t="inlineStr">
        <is>
          <t>Dr. Patel</t>
        </is>
      </c>
      <c r="H3" s="8" t="inlineStr">
        <is>
          <t>2025-05-08</t>
        </is>
      </c>
      <c r="I3" s="8" t="inlineStr"/>
      <c r="J3" s="8" t="inlineStr"/>
      <c r="K3" s="8" t="inlineStr">
        <is>
          <t>Analysis In Progress</t>
        </is>
      </c>
      <c r="L3" s="8" t="inlineStr"/>
      <c r="M3" s="8" t="inlineStr"/>
      <c r="N3" s="8" t="inlineStr"/>
      <c r="O3" s="8" t="inlineStr">
        <is>
          <t>Hit - Confirmed Match</t>
        </is>
      </c>
      <c r="P3" s="8" t="inlineStr">
        <is>
          <t>Traced - Non-US Origin</t>
        </is>
      </c>
      <c r="Q3" s="8" t="inlineStr">
        <is>
          <t>Priority - linked to Kingston shooting</t>
        </is>
      </c>
    </row>
    <row r="4">
      <c r="A4" s="8" t="inlineStr">
        <is>
          <t>LAB-2025-003</t>
        </is>
      </c>
      <c r="B4" s="8" t="inlineStr">
        <is>
          <t>EXH-NA-001</t>
        </is>
      </c>
      <c r="C4" s="8" t="inlineStr">
        <is>
          <t>CR-2025-002</t>
        </is>
      </c>
      <c r="D4" s="8" t="inlineStr">
        <is>
          <t>2025-01-28</t>
        </is>
      </c>
      <c r="E4" s="8" t="inlineStr">
        <is>
          <t>Chemistry</t>
        </is>
      </c>
      <c r="F4" s="8" t="inlineStr">
        <is>
          <t>Drug purity analysis</t>
        </is>
      </c>
      <c r="G4" s="8" t="inlineStr">
        <is>
          <t>Ms. Wong</t>
        </is>
      </c>
      <c r="H4" s="8" t="inlineStr">
        <is>
          <t>2025-03-28</t>
        </is>
      </c>
      <c r="I4" s="8" t="inlineStr">
        <is>
          <t>2025-03-15</t>
        </is>
      </c>
      <c r="J4" s="8" t="inlineStr">
        <is>
          <t>CERT-CHEM-2025-044</t>
        </is>
      </c>
      <c r="K4" s="8" t="inlineStr">
        <is>
          <t>Certificate Issued</t>
        </is>
      </c>
      <c r="L4" s="8" t="inlineStr">
        <is>
          <t>Cocaine HCl, 87% purity</t>
        </is>
      </c>
      <c r="M4" s="8" t="inlineStr">
        <is>
          <t>DC Thompson</t>
        </is>
      </c>
      <c r="N4" s="8" t="inlineStr">
        <is>
          <t>2025-03-16</t>
        </is>
      </c>
      <c r="O4" s="8" t="inlineStr"/>
      <c r="P4" s="8" t="inlineStr"/>
      <c r="Q4" s="8" t="inlineStr">
        <is>
          <t>Certificate available for DPP file</t>
        </is>
      </c>
    </row>
    <row r="5">
      <c r="A5" s="8" t="n"/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  <c r="P6" s="8" t="n"/>
      <c r="Q6" s="8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</row>
  </sheetData>
  <conditionalFormatting sqref="R2:R1000">
    <cfRule type="cellIs" priority="1" operator="equal" dxfId="0">
      <formula>"Draft"</formula>
    </cfRule>
    <cfRule type="cellIs" priority="2" operator="equal" dxfId="1">
      <formula>"Submitted"</formula>
    </cfRule>
    <cfRule type="cellIs" priority="3" operator="equal" dxfId="2">
      <formula>"Edited"</formula>
    </cfRule>
  </conditionalFormatting>
  <conditionalFormatting sqref="K2:K24">
    <cfRule type="cellIs" priority="4" operator="equal" dxfId="3">
      <formula>"Certificate Overdue"</formula>
    </cfRule>
  </conditionalFormatting>
  <dataValidations count="4">
    <dataValidation sqref="R2:R24" showDropDown="0" showInputMessage="0" showErrorMessage="0" allowBlank="1" errorTitle="Invalid" error="Select from dropdown" type="list">
      <formula1>"Draft,Submitted,Edited"</formula1>
    </dataValidation>
    <dataValidation sqref="K2:K500" showDropDown="0" showInputMessage="0" showErrorMessage="0" allowBlank="1" errorTitle="Invalid" error="Select from dropdown" type="list">
      <formula1>Lookups!$I$2:$I$10</formula1>
    </dataValidation>
    <dataValidation sqref="O2:O500" showDropDown="0" showInputMessage="0" showErrorMessage="0" allowBlank="1" errorTitle="Invalid" error="Select from dropdown" type="list">
      <formula1>Lookups!$G$2:$G$10</formula1>
    </dataValidation>
    <dataValidation sqref="P2:P500" showDropDown="0" showInputMessage="0" showErrorMessage="0" allowBlank="1" errorTitle="Invalid" error="Select from dropdown" type="list">
      <formula1>Lookups!$H$2:$H$10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538135"/>
    <outlinePr summaryBelow="1" summaryRight="1"/>
    <pageSetUpPr/>
  </sheetPr>
  <dimension ref="B2:L30"/>
  <sheetViews>
    <sheetView showGridLines="0" workbookViewId="0">
      <selection activeCell="A1" sqref="A1"/>
    </sheetView>
  </sheetViews>
  <sheetFormatPr baseColWidth="8" defaultRowHeight="15"/>
  <sheetData>
    <row r="2">
      <c r="B2" s="9" t="inlineStr">
        <is>
          <t>FORENSICS &amp; EVIDENCE DASHBOARD - FNID Area 3</t>
        </is>
      </c>
    </row>
    <row r="4">
      <c r="B4" s="10">
        <f>COUNTA(Chain_of_Custody!A2:A24)</f>
        <v/>
      </c>
      <c r="C4" s="11" t="n"/>
      <c r="E4" s="10">
        <f>COUNTIF(Lab_Tracking!K2:K24,"Certificate Issued")</f>
        <v/>
      </c>
      <c r="F4" s="11" t="n"/>
      <c r="H4" s="10">
        <f>COUNTIF(Lab_Tracking!K2:K24,"*IFSLM*")+COUNTIF(Lab_Tracking!K2:K24,"Analysis*")</f>
        <v/>
      </c>
      <c r="I4" s="11" t="n"/>
      <c r="K4" s="10">
        <f>COUNTIF(Lab_Tracking!K2:K24,"*Overdue*")</f>
        <v/>
      </c>
      <c r="L4" s="11" t="n"/>
    </row>
    <row r="5">
      <c r="B5" s="12" t="inlineStr">
        <is>
          <t>Total Exhibits</t>
        </is>
      </c>
      <c r="C5" s="11" t="n"/>
      <c r="E5" s="12" t="inlineStr">
        <is>
          <t>Certs Issued</t>
        </is>
      </c>
      <c r="F5" s="11" t="n"/>
      <c r="H5" s="12" t="inlineStr">
        <is>
          <t>Pending at Lab</t>
        </is>
      </c>
      <c r="I5" s="11" t="n"/>
      <c r="K5" s="12" t="inlineStr">
        <is>
          <t>Overdue</t>
        </is>
      </c>
      <c r="L5" s="11" t="n"/>
    </row>
    <row r="8">
      <c r="B8" s="4" t="inlineStr">
        <is>
          <t>Exhibit Type</t>
        </is>
      </c>
      <c r="C8" s="4" t="inlineStr">
        <is>
          <t>Count</t>
        </is>
      </c>
    </row>
    <row r="9">
      <c r="B9" s="5" t="inlineStr">
        <is>
          <t>Firearm</t>
        </is>
      </c>
      <c r="C9" s="5">
        <f>COUNTIF(Chain_of_Custody!B2:B24,B9)</f>
        <v/>
      </c>
    </row>
    <row r="10">
      <c r="B10" s="5" t="inlineStr">
        <is>
          <t>Ammunition</t>
        </is>
      </c>
      <c r="C10" s="5">
        <f>COUNTIF(Chain_of_Custody!B2:B24,B10)</f>
        <v/>
      </c>
    </row>
    <row r="11">
      <c r="B11" s="5" t="inlineStr">
        <is>
          <t>Drug Sample</t>
        </is>
      </c>
      <c r="C11" s="5">
        <f>COUNTIF(Chain_of_Custody!B2:B24,B11)</f>
        <v/>
      </c>
    </row>
    <row r="12">
      <c r="B12" s="5" t="inlineStr">
        <is>
          <t>Cash/Currency</t>
        </is>
      </c>
      <c r="C12" s="5">
        <f>COUNTIF(Chain_of_Custody!B2:B24,B12)</f>
        <v/>
      </c>
    </row>
    <row r="13">
      <c r="B13" s="5" t="inlineStr">
        <is>
          <t>Electronic Device</t>
        </is>
      </c>
      <c r="C13" s="5">
        <f>COUNTIF(Chain_of_Custody!B2:B24,B13)</f>
        <v/>
      </c>
    </row>
    <row r="14">
      <c r="B14" s="5" t="inlineStr">
        <is>
          <t>Other</t>
        </is>
      </c>
      <c r="C14" s="5">
        <f>COUNTIF(Chain_of_Custody!B2:B24,B14)</f>
        <v/>
      </c>
    </row>
    <row r="17">
      <c r="B17" s="4" t="inlineStr">
        <is>
          <t>Lab Status</t>
        </is>
      </c>
      <c r="C17" s="4" t="inlineStr">
        <is>
          <t>Count</t>
        </is>
      </c>
    </row>
    <row r="18">
      <c r="B18" s="5" t="inlineStr">
        <is>
          <t>Not Yet Submitted</t>
        </is>
      </c>
      <c r="C18" s="5">
        <f>COUNTIF(Lab_Tracking!K2:K24,B18)</f>
        <v/>
      </c>
    </row>
    <row r="19">
      <c r="B19" s="5" t="inlineStr">
        <is>
          <t>Submitted to IFSLM</t>
        </is>
      </c>
      <c r="C19" s="5">
        <f>COUNTIF(Lab_Tracking!K2:K24,B19)</f>
        <v/>
      </c>
    </row>
    <row r="20">
      <c r="B20" s="5" t="inlineStr">
        <is>
          <t>Analysis In Progress</t>
        </is>
      </c>
      <c r="C20" s="5">
        <f>COUNTIF(Lab_Tracking!K2:K24,B20)</f>
        <v/>
      </c>
    </row>
    <row r="21">
      <c r="B21" s="5" t="inlineStr">
        <is>
          <t>Certificate Issued</t>
        </is>
      </c>
      <c r="C21" s="5">
        <f>COUNTIF(Lab_Tracking!K2:K24,B21)</f>
        <v/>
      </c>
    </row>
    <row r="22">
      <c r="B22" s="5" t="inlineStr">
        <is>
          <t>Certificate Overdue</t>
        </is>
      </c>
      <c r="C22" s="5">
        <f>COUNTIF(Lab_Tracking!K2:K24,B22)</f>
        <v/>
      </c>
    </row>
    <row r="25">
      <c r="B25" s="4" t="inlineStr">
        <is>
          <t>IBIS Status</t>
        </is>
      </c>
      <c r="C25" s="4" t="inlineStr">
        <is>
          <t>Count</t>
        </is>
      </c>
    </row>
    <row r="26">
      <c r="B26" s="5" t="inlineStr">
        <is>
          <t>Not Submitted</t>
        </is>
      </c>
      <c r="C26" s="5">
        <f>COUNTIF(Lab_Tracking!O2:O24,B26)</f>
        <v/>
      </c>
    </row>
    <row r="27">
      <c r="B27" s="5" t="inlineStr">
        <is>
          <t>Submitted - Pending</t>
        </is>
      </c>
      <c r="C27" s="5">
        <f>COUNTIF(Lab_Tracking!O2:O24,B27)</f>
        <v/>
      </c>
    </row>
    <row r="28">
      <c r="B28" s="5" t="inlineStr">
        <is>
          <t>No Match</t>
        </is>
      </c>
      <c r="C28" s="5">
        <f>COUNTIF(Lab_Tracking!O2:O24,B28)</f>
        <v/>
      </c>
    </row>
    <row r="29">
      <c r="B29" s="5" t="inlineStr">
        <is>
          <t>Hit - Confirmed Match</t>
        </is>
      </c>
      <c r="C29" s="5">
        <f>COUNTIF(Lab_Tracking!O2:O24,B29)</f>
        <v/>
      </c>
    </row>
    <row r="30">
      <c r="B30" s="5" t="inlineStr">
        <is>
          <t>Serial Obliterated</t>
        </is>
      </c>
      <c r="C30" s="5">
        <f>COUNTIF(Lab_Tracking!O2:O24,B30)</f>
        <v/>
      </c>
    </row>
  </sheetData>
  <mergeCells count="9">
    <mergeCell ref="E4:F4"/>
    <mergeCell ref="B5:C5"/>
    <mergeCell ref="E5:F5"/>
    <mergeCell ref="K5:L5"/>
    <mergeCell ref="H5:I5"/>
    <mergeCell ref="H4:I4"/>
    <mergeCell ref="B2:K2"/>
    <mergeCell ref="K4:L4"/>
    <mergeCell ref="B4:C4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538135"/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s="13" t="inlineStr">
        <is>
          <t>IntelSource</t>
        </is>
      </c>
      <c r="B1" s="13" t="inlineStr">
        <is>
          <t>Priority</t>
        </is>
      </c>
      <c r="C1" s="13" t="inlineStr">
        <is>
          <t>Parish</t>
        </is>
      </c>
      <c r="D1" s="13" t="inlineStr">
        <is>
          <t>YesNo</t>
        </is>
      </c>
      <c r="E1" s="13" t="inlineStr">
        <is>
          <t>RecordStatus</t>
        </is>
      </c>
      <c r="F1" s="13" t="inlineStr">
        <is>
          <t>ExhibitType</t>
        </is>
      </c>
      <c r="G1" s="13" t="inlineStr">
        <is>
          <t>IBIS_Status</t>
        </is>
      </c>
      <c r="H1" s="13" t="inlineStr">
        <is>
          <t>eTrace_Status</t>
        </is>
      </c>
      <c r="I1" s="13" t="inlineStr">
        <is>
          <t>ForensicStatus</t>
        </is>
      </c>
      <c r="J1" s="13" t="inlineStr">
        <is>
          <t>ExhibitDisposal</t>
        </is>
      </c>
    </row>
    <row r="2">
      <c r="A2" t="inlineStr">
        <is>
          <t>Crime Stop (311)</t>
        </is>
      </c>
      <c r="B2" t="inlineStr">
        <is>
          <t>Critical</t>
        </is>
      </c>
      <c r="C2" t="inlineStr">
        <is>
          <t>Manchester</t>
        </is>
      </c>
      <c r="D2" t="inlineStr">
        <is>
          <t>Yes</t>
        </is>
      </c>
      <c r="E2" t="inlineStr">
        <is>
          <t>Draft</t>
        </is>
      </c>
      <c r="F2" t="inlineStr">
        <is>
          <t>Firearm</t>
        </is>
      </c>
      <c r="G2" t="inlineStr">
        <is>
          <t>Not Submitted</t>
        </is>
      </c>
      <c r="H2" t="inlineStr">
        <is>
          <t>Not Submitted</t>
        </is>
      </c>
      <c r="I2" t="inlineStr">
        <is>
          <t>Not Yet Submitted</t>
        </is>
      </c>
      <c r="J2" t="inlineStr">
        <is>
          <t>Held - Active Case</t>
        </is>
      </c>
    </row>
    <row r="3">
      <c r="A3" t="inlineStr">
        <is>
          <t>NIB (811)</t>
        </is>
      </c>
      <c r="B3" t="inlineStr">
        <is>
          <t>High</t>
        </is>
      </c>
      <c r="C3" t="inlineStr">
        <is>
          <t>St. Elizabeth</t>
        </is>
      </c>
      <c r="D3" t="inlineStr">
        <is>
          <t>No</t>
        </is>
      </c>
      <c r="E3" t="inlineStr">
        <is>
          <t>Submitted</t>
        </is>
      </c>
      <c r="F3" t="inlineStr">
        <is>
          <t>Ammunition</t>
        </is>
      </c>
      <c r="G3" t="inlineStr">
        <is>
          <t>Submitted - Pending</t>
        </is>
      </c>
      <c r="H3" t="inlineStr">
        <is>
          <t>Submitted - Pending</t>
        </is>
      </c>
      <c r="I3" t="inlineStr">
        <is>
          <t>Submitted to IFSLM</t>
        </is>
      </c>
      <c r="J3" t="inlineStr">
        <is>
          <t>Held - Court Order</t>
        </is>
      </c>
    </row>
    <row r="4">
      <c r="A4" t="inlineStr">
        <is>
          <t>Informant</t>
        </is>
      </c>
      <c r="B4" t="inlineStr">
        <is>
          <t>Medium</t>
        </is>
      </c>
      <c r="C4" t="inlineStr">
        <is>
          <t>Clarendon</t>
        </is>
      </c>
      <c r="E4" t="inlineStr">
        <is>
          <t>Edited</t>
        </is>
      </c>
      <c r="F4" t="inlineStr">
        <is>
          <t>Magazine</t>
        </is>
      </c>
      <c r="G4" t="inlineStr">
        <is>
          <t>No Match</t>
        </is>
      </c>
      <c r="H4" t="inlineStr">
        <is>
          <t>Traced - US Origin</t>
        </is>
      </c>
      <c r="I4" t="inlineStr">
        <is>
          <t>Analysis In Progress</t>
        </is>
      </c>
      <c r="J4" t="inlineStr">
        <is>
          <t>Destroyed - Authorized</t>
        </is>
      </c>
    </row>
    <row r="5">
      <c r="A5" t="inlineStr">
        <is>
          <t>DEA</t>
        </is>
      </c>
      <c r="B5" t="inlineStr">
        <is>
          <t>Low</t>
        </is>
      </c>
      <c r="C5" t="inlineStr">
        <is>
          <t>Kingston</t>
        </is>
      </c>
      <c r="F5" t="inlineStr">
        <is>
          <t>Drug Sample</t>
        </is>
      </c>
      <c r="G5" t="inlineStr">
        <is>
          <t>Hit - Confirmed Match</t>
        </is>
      </c>
      <c r="H5" t="inlineStr">
        <is>
          <t>Traced - Non-US Origin</t>
        </is>
      </c>
      <c r="I5" t="inlineStr">
        <is>
          <t>Certificate Issued</t>
        </is>
      </c>
      <c r="J5" t="inlineStr">
        <is>
          <t>Returned to Owner</t>
        </is>
      </c>
    </row>
    <row r="6">
      <c r="A6" t="inlineStr">
        <is>
          <t>ATF</t>
        </is>
      </c>
      <c r="C6" t="inlineStr">
        <is>
          <t>St. Andrew</t>
        </is>
      </c>
      <c r="F6" t="inlineStr">
        <is>
          <t>Cash/Currency</t>
        </is>
      </c>
      <c r="G6" t="inlineStr">
        <is>
          <t>Hit - Unconfirmed</t>
        </is>
      </c>
      <c r="H6" t="inlineStr">
        <is>
          <t>Untraceable - No Serial</t>
        </is>
      </c>
      <c r="I6" t="inlineStr">
        <is>
          <t>Certificate Overdue</t>
        </is>
      </c>
      <c r="J6" t="inlineStr">
        <is>
          <t>Forfeited - POCA</t>
        </is>
      </c>
    </row>
    <row r="7">
      <c r="A7" t="inlineStr">
        <is>
          <t>HSI</t>
        </is>
      </c>
      <c r="C7" t="inlineStr">
        <is>
          <t>St. Thomas</t>
        </is>
      </c>
      <c r="F7" t="inlineStr">
        <is>
          <t>Electronic Device</t>
        </is>
      </c>
      <c r="G7" t="inlineStr">
        <is>
          <t>Serial Obliterated</t>
        </is>
      </c>
      <c r="H7" t="inlineStr">
        <is>
          <t>Untraceable - Obliterated</t>
        </is>
      </c>
      <c r="I7" t="inlineStr">
        <is>
          <t>Inconclusive</t>
        </is>
      </c>
      <c r="J7" t="inlineStr">
        <is>
          <t>Pending Disposal Authorization</t>
        </is>
      </c>
    </row>
    <row r="8">
      <c r="A8" t="inlineStr">
        <is>
          <t>MOCA</t>
        </is>
      </c>
      <c r="C8" t="inlineStr">
        <is>
          <t>Portland</t>
        </is>
      </c>
      <c r="F8" t="inlineStr">
        <is>
          <t>Vehicle</t>
        </is>
      </c>
      <c r="H8" t="inlineStr">
        <is>
          <t>Trace Complete</t>
        </is>
      </c>
    </row>
    <row r="9">
      <c r="A9" t="inlineStr">
        <is>
          <t>JCA Detection</t>
        </is>
      </c>
      <c r="C9" t="inlineStr">
        <is>
          <t>St. Mary</t>
        </is>
      </c>
      <c r="F9" t="inlineStr">
        <is>
          <t>Document</t>
        </is>
      </c>
    </row>
    <row r="10">
      <c r="A10" t="inlineStr">
        <is>
          <t>Divisional CIB</t>
        </is>
      </c>
      <c r="C10" t="inlineStr">
        <is>
          <t>St. Ann</t>
        </is>
      </c>
      <c r="F10" t="inlineStr">
        <is>
          <t>Clothing/Personal Item</t>
        </is>
      </c>
    </row>
    <row r="11">
      <c r="A11" t="inlineStr">
        <is>
          <t>Patrol Intercept</t>
        </is>
      </c>
      <c r="C11" t="inlineStr">
        <is>
          <t>Trelawny</t>
        </is>
      </c>
      <c r="F11" t="inlineStr">
        <is>
          <t>Biological Sample</t>
        </is>
      </c>
    </row>
    <row r="12">
      <c r="A12" t="inlineStr">
        <is>
          <t>C-TOC/SIB</t>
        </is>
      </c>
      <c r="C12" t="inlineStr">
        <is>
          <t>St. James</t>
        </is>
      </c>
      <c r="F12" t="inlineStr">
        <is>
          <t>Other</t>
        </is>
      </c>
    </row>
    <row r="13">
      <c r="A13" t="inlineStr">
        <is>
          <t>INTERPOL</t>
        </is>
      </c>
      <c r="C13" t="inlineStr">
        <is>
          <t>Hanover</t>
        </is>
      </c>
    </row>
    <row r="14">
      <c r="A14" t="inlineStr">
        <is>
          <t>Walk-In Report</t>
        </is>
      </c>
      <c r="C14" t="inlineStr">
        <is>
          <t>Westmoreland</t>
        </is>
      </c>
    </row>
    <row r="15">
      <c r="A15" t="inlineStr">
        <is>
          <t>FNID Direct (923-6184)</t>
        </is>
      </c>
      <c r="C15" t="inlineStr">
        <is>
          <t>St. Catherine</t>
        </is>
      </c>
    </row>
    <row r="16">
      <c r="A16" t="inlineStr">
        <is>
          <t>UK NCA</t>
        </is>
      </c>
    </row>
    <row r="17">
      <c r="A17" t="inlineStr">
        <is>
          <t>US Marshals</t>
        </is>
      </c>
    </row>
    <row r="18">
      <c r="A18" t="inlineStr">
        <is>
          <t>Anonymous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2026-02-27T06:20:07Z</dcterms:created>
  <dcterms:modified xmlns:dcterms="http://purl.org/dc/terms/" xmlns:xsi="http://www.w3.org/2001/XMLSchema-instance" xsi:type="dcterms:W3CDTF">2026-02-27T06:20:07Z</dcterms:modified>
</cp:coreProperties>
</file>