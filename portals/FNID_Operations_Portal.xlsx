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Op_Regist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ook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00000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'Dashboard'!$B$9:$B$15</f>
            </numRef>
          </cat>
          <val>
            <numRef>
              <f>'Dashboard'!$C$9:$C$15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 Outcomes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'Dashboard'!$B$19:$B$24</f>
            </numRef>
          </cat>
          <val>
            <numRef>
              <f>'Dashboard'!$C$19:$C$24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Operations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'Dashboard'!$C$28:$C$39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26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" displayName="tbl_Operations" ref="A1:AA26" headerRowCount="1">
  <autoFilter ref="A1:AA26"/>
  <tableColumns count="27">
    <tableColumn id="1" name="OpID"/>
    <tableColumn id="2" name="OpName"/>
    <tableColumn id="3" name="OpDate"/>
    <tableColumn id="4" name="OpType"/>
    <tableColumn id="5" name="WarrantBasis"/>
    <tableColumn id="6" name="WarrantNumber"/>
    <tableColumn id="7" name="IssuingJP"/>
    <tableColumn id="8" name="Parish"/>
    <tableColumn id="9" name="TargetLocation"/>
    <tableColumn id="10" name="TargetPerson"/>
    <tableColumn id="11" name="TeamLead"/>
    <tableColumn id="12" name="TeamSize"/>
    <tableColumn id="13" name="JointAgency"/>
    <tableColumn id="14" name="LinkedIntelID"/>
    <tableColumn id="15" name="StartTime"/>
    <tableColumn id="16" name="EndTime"/>
    <tableColumn id="17" name="Duration_hrs"/>
    <tableColumn id="18" name="FirearmsSeized"/>
    <tableColumn id="19" name="NarcoticsSeized"/>
    <tableColumn id="20" name="AmmoSeized"/>
    <tableColumn id="21" name="CashSeized"/>
    <tableColumn id="22" name="ArrestsMade"/>
    <tableColumn id="23" name="Outcome"/>
    <tableColumn id="24" name="OutcomeNotes"/>
    <tableColumn id="25" name="RiskAssessment"/>
    <tableColumn id="26" name="BodyCamFootage"/>
    <tableColumn id="27" name="EvidenceTag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OPERATIONS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Op_Register</t>
        </is>
      </c>
      <c r="C6" s="5" t="inlineStr">
        <is>
          <t>Operation planning &amp; execution tracking</t>
        </is>
      </c>
    </row>
    <row r="7">
      <c r="B7" s="4" t="inlineStr">
        <is>
          <t xml:space="preserve">  Dashboard</t>
        </is>
      </c>
      <c r="C7" s="5" t="inlineStr">
        <is>
          <t>KPI summary and operational charts</t>
        </is>
      </c>
    </row>
    <row r="8">
      <c r="B8" s="4" t="inlineStr">
        <is>
          <t xml:space="preserve">  Lookups</t>
        </is>
      </c>
      <c r="C8" s="5" t="inlineStr">
        <is>
          <t>Dropdown reference data</t>
        </is>
      </c>
    </row>
    <row r="10">
      <c r="B10" s="3" t="inlineStr">
        <is>
          <t>SUBMISSION WORKFLOW</t>
        </is>
      </c>
    </row>
    <row r="11">
      <c r="B11" s="5" t="inlineStr">
        <is>
          <t>1. Enter data in the data entry sheet(s)</t>
        </is>
      </c>
    </row>
    <row r="12">
      <c r="B12" s="5" t="inlineStr">
        <is>
          <t>2. Set RecordStatus to 'Draft' while working</t>
        </is>
      </c>
    </row>
    <row r="13">
      <c r="B13" s="5" t="inlineStr">
        <is>
          <t>3. Fill SubmittedBy with your name/badge when ready</t>
        </is>
      </c>
    </row>
    <row r="14">
      <c r="B14" s="5" t="inlineStr">
        <is>
          <t>4. Change RecordStatus to 'Submitted' to finalize</t>
        </is>
      </c>
    </row>
    <row r="15">
      <c r="B15" s="5" t="inlineStr">
        <is>
          <t>5. To edit a submitted record, change status to 'Edited'</t>
        </is>
      </c>
    </row>
    <row r="16">
      <c r="B16" s="5" t="inlineStr">
        <is>
          <t>6. Use the Dashboard sheet to view KPIs and charts</t>
        </is>
      </c>
    </row>
    <row r="18">
      <c r="B18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A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2" customWidth="1" min="4" max="4"/>
    <col width="24" customWidth="1" min="5" max="5"/>
    <col width="14" customWidth="1" min="6" max="6"/>
    <col width="16" customWidth="1" min="7" max="7"/>
    <col width="14" customWidth="1" min="8" max="8"/>
    <col width="22" customWidth="1" min="9" max="9"/>
    <col width="18" customWidth="1" min="10" max="10"/>
    <col width="16" customWidth="1" min="11" max="11"/>
    <col width="10" customWidth="1" min="12" max="12"/>
    <col width="16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22" customWidth="1" min="23" max="23"/>
    <col width="28" customWidth="1" min="24" max="24"/>
    <col width="14" customWidth="1" min="25" max="25"/>
    <col width="10" customWidth="1" min="26" max="26"/>
    <col width="10" customWidth="1" min="27" max="27"/>
    <col width="14" customWidth="1" min="28" max="28"/>
    <col width="16" customWidth="1" min="29" max="29"/>
    <col width="14" customWidth="1" min="30" max="30"/>
    <col width="16" customWidth="1" min="31" max="31"/>
    <col width="14" customWidth="1" min="32" max="32"/>
  </cols>
  <sheetData>
    <row r="1">
      <c r="A1" s="7" t="inlineStr">
        <is>
          <t>OpID</t>
        </is>
      </c>
      <c r="B1" s="7" t="inlineStr">
        <is>
          <t>OpName</t>
        </is>
      </c>
      <c r="C1" s="7" t="inlineStr">
        <is>
          <t>OpDate</t>
        </is>
      </c>
      <c r="D1" s="7" t="inlineStr">
        <is>
          <t>OpType</t>
        </is>
      </c>
      <c r="E1" s="7" t="inlineStr">
        <is>
          <t>WarrantBasis</t>
        </is>
      </c>
      <c r="F1" s="7" t="inlineStr">
        <is>
          <t>WarrantNumber</t>
        </is>
      </c>
      <c r="G1" s="7" t="inlineStr">
        <is>
          <t>IssuingJP</t>
        </is>
      </c>
      <c r="H1" s="7" t="inlineStr">
        <is>
          <t>Parish</t>
        </is>
      </c>
      <c r="I1" s="7" t="inlineStr">
        <is>
          <t>TargetLocation</t>
        </is>
      </c>
      <c r="J1" s="7" t="inlineStr">
        <is>
          <t>TargetPerson</t>
        </is>
      </c>
      <c r="K1" s="7" t="inlineStr">
        <is>
          <t>TeamLead</t>
        </is>
      </c>
      <c r="L1" s="7" t="inlineStr">
        <is>
          <t>TeamSize</t>
        </is>
      </c>
      <c r="M1" s="7" t="inlineStr">
        <is>
          <t>JointAgency</t>
        </is>
      </c>
      <c r="N1" s="7" t="inlineStr">
        <is>
          <t>LinkedIntelID</t>
        </is>
      </c>
      <c r="O1" s="7" t="inlineStr">
        <is>
          <t>StartTime</t>
        </is>
      </c>
      <c r="P1" s="7" t="inlineStr">
        <is>
          <t>EndTime</t>
        </is>
      </c>
      <c r="Q1" s="7" t="inlineStr">
        <is>
          <t>Duration_hrs</t>
        </is>
      </c>
      <c r="R1" s="7" t="inlineStr">
        <is>
          <t>FirearmsSeized</t>
        </is>
      </c>
      <c r="S1" s="7" t="inlineStr">
        <is>
          <t>NarcoticsSeized</t>
        </is>
      </c>
      <c r="T1" s="7" t="inlineStr">
        <is>
          <t>AmmoSeized</t>
        </is>
      </c>
      <c r="U1" s="7" t="inlineStr">
        <is>
          <t>CashSeized</t>
        </is>
      </c>
      <c r="V1" s="7" t="inlineStr">
        <is>
          <t>ArrestsMade</t>
        </is>
      </c>
      <c r="W1" s="7" t="inlineStr">
        <is>
          <t>Outcome</t>
        </is>
      </c>
      <c r="X1" s="7" t="inlineStr">
        <is>
          <t>OutcomeNotes</t>
        </is>
      </c>
      <c r="Y1" s="7" t="inlineStr">
        <is>
          <t>RiskAssessment</t>
        </is>
      </c>
      <c r="Z1" s="7" t="inlineStr">
        <is>
          <t>BodyCamFootage</t>
        </is>
      </c>
      <c r="AA1" s="7" t="inlineStr">
        <is>
          <t>EvidenceTagged</t>
        </is>
      </c>
      <c r="AB1" s="7" t="inlineStr">
        <is>
          <t>RecordStatus</t>
        </is>
      </c>
      <c r="AC1" s="7" t="inlineStr">
        <is>
          <t>SubmittedBy</t>
        </is>
      </c>
      <c r="AD1" s="7" t="inlineStr">
        <is>
          <t>SubmittedDate</t>
        </is>
      </c>
      <c r="AE1" s="7" t="inlineStr">
        <is>
          <t>LastEditedBy</t>
        </is>
      </c>
      <c r="AF1" s="7" t="inlineStr">
        <is>
          <t>LastEditedDate</t>
        </is>
      </c>
    </row>
    <row r="2">
      <c r="A2" s="8" t="inlineStr">
        <is>
          <t>OP-2025-001</t>
        </is>
      </c>
      <c r="B2" s="8" t="inlineStr">
        <is>
          <t>Op THUNDER</t>
        </is>
      </c>
      <c r="C2" s="8" t="inlineStr">
        <is>
          <t>2025-01-20</t>
        </is>
      </c>
      <c r="D2" s="8" t="inlineStr">
        <is>
          <t>Search Warrant Execution</t>
        </is>
      </c>
      <c r="E2" s="8" t="inlineStr">
        <is>
          <t>Section 91 - Firearms Act 2022</t>
        </is>
      </c>
      <c r="F2" s="8" t="inlineStr">
        <is>
          <t>WN-2025-011</t>
        </is>
      </c>
      <c r="G2" s="8" t="inlineStr">
        <is>
          <t>JP Sinclair</t>
        </is>
      </c>
      <c r="H2" s="8" t="inlineStr">
        <is>
          <t>Manchester</t>
        </is>
      </c>
      <c r="I2" s="8" t="inlineStr">
        <is>
          <t>Lot 14 Green Ave, Mandeville</t>
        </is>
      </c>
      <c r="J2" s="8" t="inlineStr">
        <is>
          <t>Unknown</t>
        </is>
      </c>
      <c r="K2" s="8" t="inlineStr">
        <is>
          <t>Insp. Brown</t>
        </is>
      </c>
      <c r="L2" s="8" t="n">
        <v>8</v>
      </c>
      <c r="M2" s="8" t="inlineStr">
        <is>
          <t>None</t>
        </is>
      </c>
      <c r="N2" s="8" t="inlineStr">
        <is>
          <t>INT-2025-001</t>
        </is>
      </c>
      <c r="O2" s="8" t="inlineStr">
        <is>
          <t>05:00</t>
        </is>
      </c>
      <c r="P2" s="8" t="inlineStr">
        <is>
          <t>08:30</t>
        </is>
      </c>
      <c r="Q2" s="8" t="n">
        <v>3.5</v>
      </c>
      <c r="R2" s="8" t="n">
        <v>2</v>
      </c>
      <c r="S2" s="8" t="n">
        <v>0</v>
      </c>
      <c r="T2" s="8" t="n">
        <v>45</v>
      </c>
      <c r="U2" s="8" t="n">
        <v>0</v>
      </c>
      <c r="V2" s="8" t="n">
        <v>1</v>
      </c>
      <c r="W2" s="8" t="inlineStr">
        <is>
          <t>Successful - Seizure + Arrest</t>
        </is>
      </c>
      <c r="X2" s="8" t="inlineStr">
        <is>
          <t>2 pistols and ammo recovered, 1 male arrested</t>
        </is>
      </c>
      <c r="Y2" s="8" t="inlineStr">
        <is>
          <t>High</t>
        </is>
      </c>
      <c r="Z2" s="8" t="inlineStr">
        <is>
          <t>Yes</t>
        </is>
      </c>
      <c r="AA2" s="8" t="inlineStr">
        <is>
          <t>Yes</t>
        </is>
      </c>
      <c r="AB2" t="inlineStr">
        <is>
          <t>Submitted</t>
        </is>
      </c>
      <c r="AC2" t="inlineStr">
        <is>
          <t>System</t>
        </is>
      </c>
    </row>
    <row r="3">
      <c r="A3" s="8" t="inlineStr">
        <is>
          <t>OP-2025-002</t>
        </is>
      </c>
      <c r="B3" s="8" t="inlineStr">
        <is>
          <t>Op NEPTUNE</t>
        </is>
      </c>
      <c r="C3" s="8" t="inlineStr">
        <is>
          <t>2025-01-25</t>
        </is>
      </c>
      <c r="D3" s="8" t="inlineStr">
        <is>
          <t>Coastal/Beach Operation</t>
        </is>
      </c>
      <c r="E3" s="8" t="inlineStr">
        <is>
          <t>Section 21 - Dangerous Drugs Act</t>
        </is>
      </c>
      <c r="F3" s="8" t="inlineStr"/>
      <c r="G3" s="8" t="inlineStr"/>
      <c r="H3" s="8" t="inlineStr">
        <is>
          <t>St. Elizabeth</t>
        </is>
      </c>
      <c r="I3" s="8" t="inlineStr">
        <is>
          <t>Black River Bay</t>
        </is>
      </c>
      <c r="J3" s="8" t="inlineStr">
        <is>
          <t>Marcus COLE</t>
        </is>
      </c>
      <c r="K3" s="8" t="inlineStr">
        <is>
          <t>Supt. Davis</t>
        </is>
      </c>
      <c r="L3" s="8" t="n">
        <v>15</v>
      </c>
      <c r="M3" s="8" t="inlineStr">
        <is>
          <t>JDF Coast Guard</t>
        </is>
      </c>
      <c r="N3" s="8" t="inlineStr">
        <is>
          <t>INT-2025-002</t>
        </is>
      </c>
      <c r="O3" s="8" t="inlineStr">
        <is>
          <t>22:00</t>
        </is>
      </c>
      <c r="P3" s="8" t="inlineStr">
        <is>
          <t>03:00</t>
        </is>
      </c>
      <c r="Q3" s="8" t="n">
        <v>5</v>
      </c>
      <c r="R3" s="8" t="n">
        <v>0</v>
      </c>
      <c r="S3" s="8" t="n">
        <v>1</v>
      </c>
      <c r="T3" s="8" t="n">
        <v>0</v>
      </c>
      <c r="U3" s="8" t="n">
        <v>0</v>
      </c>
      <c r="V3" s="8" t="n">
        <v>0</v>
      </c>
      <c r="W3" s="8" t="inlineStr">
        <is>
          <t>Successful - Seizure Only</t>
        </is>
      </c>
      <c r="X3" s="8" t="inlineStr">
        <is>
          <t>32kg cocaine recovered from fishing vessel</t>
        </is>
      </c>
      <c r="Y3" s="8" t="inlineStr">
        <is>
          <t>Critical</t>
        </is>
      </c>
      <c r="Z3" s="8" t="inlineStr">
        <is>
          <t>Yes</t>
        </is>
      </c>
      <c r="AA3" s="8" t="inlineStr">
        <is>
          <t>Yes</t>
        </is>
      </c>
      <c r="AB3" t="inlineStr">
        <is>
          <t>Submitted</t>
        </is>
      </c>
      <c r="AC3" t="inlineStr">
        <is>
          <t>System</t>
        </is>
      </c>
    </row>
    <row r="4">
      <c r="A4" s="8" t="inlineStr">
        <is>
          <t>OP-2025-003</t>
        </is>
      </c>
      <c r="B4" s="8" t="inlineStr">
        <is>
          <t>Op CONTAINER</t>
        </is>
      </c>
      <c r="C4" s="8" t="inlineStr">
        <is>
          <t>2025-02-10</t>
        </is>
      </c>
      <c r="D4" s="8" t="inlineStr">
        <is>
          <t>Port/Cargo Interdiction</t>
        </is>
      </c>
      <c r="E4" s="8" t="inlineStr">
        <is>
          <t>Section 91 - Firearms Act 2022</t>
        </is>
      </c>
      <c r="F4" s="8" t="inlineStr"/>
      <c r="G4" s="8" t="inlineStr"/>
      <c r="H4" s="8" t="inlineStr">
        <is>
          <t>St. Catherine</t>
        </is>
      </c>
      <c r="I4" s="8" t="inlineStr">
        <is>
          <t>Kingston Logistics Centre</t>
        </is>
      </c>
      <c r="J4" s="8" t="inlineStr">
        <is>
          <t>Ryan SMITH</t>
        </is>
      </c>
      <c r="K4" s="8" t="inlineStr">
        <is>
          <t>Insp. Brown</t>
        </is>
      </c>
      <c r="L4" s="8" t="n">
        <v>6</v>
      </c>
      <c r="M4" s="8" t="inlineStr">
        <is>
          <t>JCA</t>
        </is>
      </c>
      <c r="N4" s="8" t="inlineStr">
        <is>
          <t>INT-2025-003</t>
        </is>
      </c>
      <c r="O4" s="8" t="inlineStr">
        <is>
          <t>10:00</t>
        </is>
      </c>
      <c r="P4" s="8" t="inlineStr">
        <is>
          <t>16:00</t>
        </is>
      </c>
      <c r="Q4" s="8" t="n">
        <v>6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inlineStr">
        <is>
          <t>Ongoing</t>
        </is>
      </c>
      <c r="X4" s="8" t="inlineStr">
        <is>
          <t>Container under surveillance</t>
        </is>
      </c>
      <c r="Y4" s="8" t="inlineStr">
        <is>
          <t>High</t>
        </is>
      </c>
      <c r="Z4" s="8" t="inlineStr">
        <is>
          <t>N/A</t>
        </is>
      </c>
      <c r="AA4" s="8" t="inlineStr">
        <is>
          <t>N/A</t>
        </is>
      </c>
      <c r="AB4" t="inlineStr">
        <is>
          <t>Submitted</t>
        </is>
      </c>
      <c r="AC4" t="inlineStr">
        <is>
          <t>System</t>
        </is>
      </c>
    </row>
    <row r="5">
      <c r="A5" s="8" t="inlineStr">
        <is>
          <t>OP-2025-004</t>
        </is>
      </c>
      <c r="B5" s="8" t="inlineStr">
        <is>
          <t>Op VIPER</t>
        </is>
      </c>
      <c r="C5" s="8" t="inlineStr">
        <is>
          <t>2025-03-05</t>
        </is>
      </c>
      <c r="D5" s="8" t="inlineStr">
        <is>
          <t>Search Warrant Execution</t>
        </is>
      </c>
      <c r="E5" s="8" t="inlineStr">
        <is>
          <t>Section 91 - Firearms Act 2022</t>
        </is>
      </c>
      <c r="F5" s="8" t="inlineStr">
        <is>
          <t>WN-2025-018</t>
        </is>
      </c>
      <c r="G5" s="8" t="inlineStr">
        <is>
          <t>JP Clarke</t>
        </is>
      </c>
      <c r="H5" s="8" t="inlineStr">
        <is>
          <t>Manchester</t>
        </is>
      </c>
      <c r="I5" s="8" t="inlineStr">
        <is>
          <t>Christiana district</t>
        </is>
      </c>
      <c r="J5" s="8" t="inlineStr">
        <is>
          <t>Devon GRANT</t>
        </is>
      </c>
      <c r="K5" s="8" t="inlineStr">
        <is>
          <t>Supt. Davis</t>
        </is>
      </c>
      <c r="L5" s="8" t="n">
        <v>20</v>
      </c>
      <c r="M5" s="8" t="inlineStr">
        <is>
          <t>MOCA</t>
        </is>
      </c>
      <c r="N5" s="8" t="inlineStr">
        <is>
          <t>INT-2025-006</t>
        </is>
      </c>
      <c r="O5" s="8" t="inlineStr">
        <is>
          <t>04:30</t>
        </is>
      </c>
      <c r="P5" s="8" t="inlineStr">
        <is>
          <t>09:00</t>
        </is>
      </c>
      <c r="Q5" s="8" t="n">
        <v>4.5</v>
      </c>
      <c r="R5" s="8" t="n">
        <v>5</v>
      </c>
      <c r="S5" s="8" t="n">
        <v>1</v>
      </c>
      <c r="T5" s="8" t="n">
        <v>200</v>
      </c>
      <c r="U5" s="8" t="n">
        <v>850000</v>
      </c>
      <c r="V5" s="8" t="n">
        <v>3</v>
      </c>
      <c r="W5" s="8" t="inlineStr">
        <is>
          <t>Successful - Seizure + Arrest</t>
        </is>
      </c>
      <c r="X5" s="8" t="inlineStr">
        <is>
          <t>Major seizure: 5 firearms, 2kg cocaine, $850K cash, 3 arrested</t>
        </is>
      </c>
      <c r="Y5" s="8" t="inlineStr">
        <is>
          <t>Critical</t>
        </is>
      </c>
      <c r="Z5" s="8" t="inlineStr">
        <is>
          <t>Yes</t>
        </is>
      </c>
      <c r="AA5" s="8" t="inlineStr">
        <is>
          <t>Yes</t>
        </is>
      </c>
      <c r="AB5" t="inlineStr">
        <is>
          <t>Submitted</t>
        </is>
      </c>
      <c r="AC5" t="inlineStr">
        <is>
          <t>System</t>
        </is>
      </c>
    </row>
    <row r="6">
      <c r="A6" s="8" t="inlineStr">
        <is>
          <t>OP-2025-005</t>
        </is>
      </c>
      <c r="B6" s="8" t="inlineStr">
        <is>
          <t>Op BARREL</t>
        </is>
      </c>
      <c r="C6" s="8" t="inlineStr">
        <is>
          <t>2025-03-18</t>
        </is>
      </c>
      <c r="D6" s="8" t="inlineStr">
        <is>
          <t>Port/Cargo Interdiction</t>
        </is>
      </c>
      <c r="E6" s="8" t="inlineStr">
        <is>
          <t>Section 91 - Firearms Act 2022</t>
        </is>
      </c>
      <c r="F6" s="8" t="inlineStr"/>
      <c r="G6" s="8" t="inlineStr"/>
      <c r="H6" s="8" t="inlineStr">
        <is>
          <t>St. Catherine</t>
        </is>
      </c>
      <c r="I6" s="8" t="inlineStr">
        <is>
          <t>Kingston Logistics Centre</t>
        </is>
      </c>
      <c r="J6" s="8" t="inlineStr">
        <is>
          <t>ABC Ltd</t>
        </is>
      </c>
      <c r="K6" s="8" t="inlineStr">
        <is>
          <t>Insp. Brown</t>
        </is>
      </c>
      <c r="L6" s="8" t="n">
        <v>4</v>
      </c>
      <c r="M6" s="8" t="inlineStr">
        <is>
          <t>JCA</t>
        </is>
      </c>
      <c r="N6" s="8" t="inlineStr">
        <is>
          <t>INT-2025-008</t>
        </is>
      </c>
      <c r="O6" s="8" t="inlineStr">
        <is>
          <t>09:00</t>
        </is>
      </c>
      <c r="P6" s="8" t="inlineStr">
        <is>
          <t>12:00</t>
        </is>
      </c>
      <c r="Q6" s="8" t="n">
        <v>3</v>
      </c>
      <c r="R6" s="8" t="n">
        <v>0</v>
      </c>
      <c r="S6" s="8" t="n">
        <v>0</v>
      </c>
      <c r="T6" s="8" t="n">
        <v>500</v>
      </c>
      <c r="U6" s="8" t="n">
        <v>0</v>
      </c>
      <c r="V6" s="8" t="n">
        <v>0</v>
      </c>
      <c r="W6" s="8" t="inlineStr">
        <is>
          <t>Successful - Seizure Only</t>
        </is>
      </c>
      <c r="X6" s="8" t="inlineStr">
        <is>
          <t>500 rounds 9mm in household barrel</t>
        </is>
      </c>
      <c r="Y6" s="8" t="inlineStr">
        <is>
          <t>Medium</t>
        </is>
      </c>
      <c r="Z6" s="8" t="inlineStr">
        <is>
          <t>Yes</t>
        </is>
      </c>
      <c r="AA6" s="8" t="inlineStr">
        <is>
          <t>Yes</t>
        </is>
      </c>
      <c r="AB6" t="inlineStr">
        <is>
          <t>Submitted</t>
        </is>
      </c>
      <c r="AC6" t="inlineStr">
        <is>
          <t>System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</sheetData>
  <conditionalFormatting sqref="AB2:AB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5">
    <dataValidation sqref="AB2:AB26" showDropDown="0" showInputMessage="0" showErrorMessage="0" allowBlank="1" errorTitle="Invalid" error="Select from dropdown" type="list">
      <formula1>"Draft,Submitted,Edited"</formula1>
    </dataValidation>
    <dataValidation sqref="D2:D500" showDropDown="0" showInputMessage="0" showErrorMessage="0" allowBlank="1" errorTitle="Invalid" error="Select from dropdown" type="list">
      <formula1>Lookups!$F$2:$F$20</formula1>
    </dataValidation>
    <dataValidation sqref="E2:E500" showDropDown="0" showInputMessage="0" showErrorMessage="0" allowBlank="1" errorTitle="Invalid" error="Select from dropdown" type="list">
      <formula1>Lookups!$G$2:$G$10</formula1>
    </dataValidation>
    <dataValidation sqref="H2:H500" showDropDown="0" showInputMessage="0" showErrorMessage="0" allowBlank="1" errorTitle="Invalid" error="Select from dropdown" type="list">
      <formula1>Lookups!$C$2:$C$20</formula1>
    </dataValidation>
    <dataValidation sqref="W2:W500" showDropDown="0" showInputMessage="0" showErrorMessage="0" allowBlank="1" errorTitle="Invalid" error="Select from dropdown" type="list">
      <formula1>Lookups!$H$2:$H$12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L39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OPERATIONS UNIT DASHBOARD - FNID Area 3</t>
        </is>
      </c>
    </row>
    <row r="4">
      <c r="B4" s="10">
        <f>COUNTA(Op_Register!A2:A26)</f>
        <v/>
      </c>
      <c r="C4" s="11" t="n"/>
      <c r="E4" s="10">
        <f>COUNTIF(Op_Register!W2:W26,"Successful*")</f>
        <v/>
      </c>
      <c r="F4" s="11" t="n"/>
      <c r="H4" s="10">
        <f>SUM(Op_Register!V2:V26)</f>
        <v/>
      </c>
      <c r="I4" s="11" t="n"/>
      <c r="K4" s="10">
        <f>SUM(Op_Register!R2:R26)</f>
        <v/>
      </c>
      <c r="L4" s="11" t="n"/>
    </row>
    <row r="5">
      <c r="B5" s="12" t="inlineStr">
        <is>
          <t>Total Operations</t>
        </is>
      </c>
      <c r="C5" s="11" t="n"/>
      <c r="E5" s="12" t="inlineStr">
        <is>
          <t>Successful Ops</t>
        </is>
      </c>
      <c r="F5" s="11" t="n"/>
      <c r="H5" s="12" t="inlineStr">
        <is>
          <t>Total Arrests</t>
        </is>
      </c>
      <c r="I5" s="11" t="n"/>
      <c r="K5" s="12" t="inlineStr">
        <is>
          <t>Firearms Seized</t>
        </is>
      </c>
      <c r="L5" s="11" t="n"/>
    </row>
    <row r="8">
      <c r="B8" s="4" t="inlineStr">
        <is>
          <t>Op Type</t>
        </is>
      </c>
      <c r="C8" s="4" t="inlineStr">
        <is>
          <t>Count</t>
        </is>
      </c>
    </row>
    <row r="9">
      <c r="B9" s="5" t="inlineStr">
        <is>
          <t>Search Warrant Execution</t>
        </is>
      </c>
      <c r="C9" s="5">
        <f>COUNTIF(Op_Register!D2:D26,B9)</f>
        <v/>
      </c>
    </row>
    <row r="10">
      <c r="B10" s="5" t="inlineStr">
        <is>
          <t>Port/Cargo Interdiction</t>
        </is>
      </c>
      <c r="C10" s="5">
        <f>COUNTIF(Op_Register!D2:D26,B10)</f>
        <v/>
      </c>
    </row>
    <row r="11">
      <c r="B11" s="5" t="inlineStr">
        <is>
          <t>Coastal/Beach Operation</t>
        </is>
      </c>
      <c r="C11" s="5">
        <f>COUNTIF(Op_Register!D2:D26,B11)</f>
        <v/>
      </c>
    </row>
    <row r="12">
      <c r="B12" s="5" t="inlineStr">
        <is>
          <t>Vehicle Interception</t>
        </is>
      </c>
      <c r="C12" s="5">
        <f>COUNTIF(Op_Register!D2:D26,B12)</f>
        <v/>
      </c>
    </row>
    <row r="13">
      <c r="B13" s="5" t="inlineStr">
        <is>
          <t>Checkpoint</t>
        </is>
      </c>
      <c r="C13" s="5">
        <f>COUNTIF(Op_Register!D2:D26,B13)</f>
        <v/>
      </c>
    </row>
    <row r="14">
      <c r="B14" s="5" t="inlineStr">
        <is>
          <t>Joint Op - MOCA</t>
        </is>
      </c>
      <c r="C14" s="5">
        <f>COUNTIF(Op_Register!D2:D26,B14)</f>
        <v/>
      </c>
    </row>
    <row r="15">
      <c r="B15" s="5" t="inlineStr">
        <is>
          <t>Joint Op - JCA</t>
        </is>
      </c>
      <c r="C15" s="5">
        <f>COUNTIF(Op_Register!D2:D26,B15)</f>
        <v/>
      </c>
    </row>
    <row r="18">
      <c r="B18" s="4" t="inlineStr">
        <is>
          <t>Outcome</t>
        </is>
      </c>
      <c r="C18" s="4" t="inlineStr">
        <is>
          <t>Count</t>
        </is>
      </c>
    </row>
    <row r="19">
      <c r="B19" s="5" t="inlineStr">
        <is>
          <t>Successful - Seizure + Arrest</t>
        </is>
      </c>
      <c r="C19" s="5">
        <f>COUNTIF(Op_Register!W2:W26,B19)</f>
        <v/>
      </c>
    </row>
    <row r="20">
      <c r="B20" s="5" t="inlineStr">
        <is>
          <t>Successful - Seizure Only</t>
        </is>
      </c>
      <c r="C20" s="5">
        <f>COUNTIF(Op_Register!W2:W26,B20)</f>
        <v/>
      </c>
    </row>
    <row r="21">
      <c r="B21" s="5" t="inlineStr">
        <is>
          <t>Successful - Arrest Only</t>
        </is>
      </c>
      <c r="C21" s="5">
        <f>COUNTIF(Op_Register!W2:W26,B21)</f>
        <v/>
      </c>
    </row>
    <row r="22">
      <c r="B22" s="5" t="inlineStr">
        <is>
          <t>Partial - Intel Developed</t>
        </is>
      </c>
      <c r="C22" s="5">
        <f>COUNTIF(Op_Register!W2:W26,B22)</f>
        <v/>
      </c>
    </row>
    <row r="23">
      <c r="B23" s="5" t="inlineStr">
        <is>
          <t>Negative - No Finds</t>
        </is>
      </c>
      <c r="C23" s="5">
        <f>COUNTIF(Op_Register!W2:W26,B23)</f>
        <v/>
      </c>
    </row>
    <row r="24">
      <c r="B24" s="5" t="inlineStr">
        <is>
          <t>Ongoing</t>
        </is>
      </c>
      <c r="C24" s="5">
        <f>COUNTIF(Op_Register!W2:W26,B24)</f>
        <v/>
      </c>
    </row>
    <row r="27">
      <c r="B27" s="4" t="inlineStr">
        <is>
          <t>Month</t>
        </is>
      </c>
      <c r="C27" s="4" t="inlineStr">
        <is>
          <t>Ops Count</t>
        </is>
      </c>
    </row>
    <row r="28">
      <c r="B28" s="5" t="inlineStr">
        <is>
          <t>Jan</t>
        </is>
      </c>
      <c r="C28" s="5">
        <f>COUNTIFS(Op_Register!C2:C26,"&gt;="&amp;"2025-01-01",Op_Register!C2:C26,"&lt;"&amp;"2025-02-01")</f>
        <v/>
      </c>
    </row>
    <row r="29">
      <c r="B29" s="5" t="inlineStr">
        <is>
          <t>Feb</t>
        </is>
      </c>
      <c r="C29" s="5">
        <f>COUNTIFS(Op_Register!C2:C26,"&gt;="&amp;"2025-02-01",Op_Register!C2:C26,"&lt;"&amp;"2025-03-01")</f>
        <v/>
      </c>
    </row>
    <row r="30">
      <c r="B30" s="5" t="inlineStr">
        <is>
          <t>Mar</t>
        </is>
      </c>
      <c r="C30" s="5">
        <f>COUNTIFS(Op_Register!C2:C26,"&gt;="&amp;"2025-03-01",Op_Register!C2:C26,"&lt;"&amp;"2025-04-01")</f>
        <v/>
      </c>
    </row>
    <row r="31">
      <c r="B31" s="5" t="inlineStr">
        <is>
          <t>Apr</t>
        </is>
      </c>
      <c r="C31" s="5">
        <f>COUNTIFS(Op_Register!C2:C26,"&gt;="&amp;"2025-04-01",Op_Register!C2:C26,"&lt;"&amp;"2025-05-01")</f>
        <v/>
      </c>
    </row>
    <row r="32">
      <c r="B32" s="5" t="inlineStr">
        <is>
          <t>May</t>
        </is>
      </c>
      <c r="C32" s="5">
        <f>COUNTIFS(Op_Register!C2:C26,"&gt;="&amp;"2025-05-01",Op_Register!C2:C26,"&lt;"&amp;"2025-06-01")</f>
        <v/>
      </c>
    </row>
    <row r="33">
      <c r="B33" s="5" t="inlineStr">
        <is>
          <t>Jun</t>
        </is>
      </c>
      <c r="C33" s="5">
        <f>COUNTIFS(Op_Register!C2:C26,"&gt;="&amp;"2025-06-01",Op_Register!C2:C26,"&lt;"&amp;"2025-07-01")</f>
        <v/>
      </c>
    </row>
    <row r="34">
      <c r="B34" s="5" t="inlineStr">
        <is>
          <t>Jul</t>
        </is>
      </c>
      <c r="C34" s="5">
        <f>COUNTIFS(Op_Register!C2:C26,"&gt;="&amp;"2025-07-01",Op_Register!C2:C26,"&lt;"&amp;"2025-08-01")</f>
        <v/>
      </c>
    </row>
    <row r="35">
      <c r="B35" s="5" t="inlineStr">
        <is>
          <t>Aug</t>
        </is>
      </c>
      <c r="C35" s="5">
        <f>COUNTIFS(Op_Register!C2:C26,"&gt;="&amp;"2025-08-01",Op_Register!C2:C26,"&lt;"&amp;"2025-09-01")</f>
        <v/>
      </c>
    </row>
    <row r="36">
      <c r="B36" s="5" t="inlineStr">
        <is>
          <t>Sep</t>
        </is>
      </c>
      <c r="C36" s="5">
        <f>COUNTIFS(Op_Register!C2:C26,"&gt;="&amp;"2025-09-01",Op_Register!C2:C26,"&lt;"&amp;"2025-10-01")</f>
        <v/>
      </c>
    </row>
    <row r="37">
      <c r="B37" s="5" t="inlineStr">
        <is>
          <t>Oct</t>
        </is>
      </c>
      <c r="C37" s="5">
        <f>COUNTIFS(Op_Register!C2:C26,"&gt;="&amp;"2025-10-01",Op_Register!C2:C26,"&lt;"&amp;"2025-11-01")</f>
        <v/>
      </c>
    </row>
    <row r="38">
      <c r="B38" s="5" t="inlineStr">
        <is>
          <t>Nov</t>
        </is>
      </c>
      <c r="C38" s="5">
        <f>COUNTIFS(Op_Register!C2:C26,"&gt;="&amp;"2025-11-01",Op_Register!C2:C26,"&lt;"&amp;"2025-12-01")</f>
        <v/>
      </c>
    </row>
    <row r="39">
      <c r="B39" s="5" t="inlineStr">
        <is>
          <t>Dec</t>
        </is>
      </c>
      <c r="C39" s="5">
        <f>COUNTIFS(Op_Register!C2:C26,"&gt;="&amp;"2025-12-01",Op_Register!C2:C26,"&lt;"&amp;"2026-01-01")</f>
        <v/>
      </c>
    </row>
  </sheetData>
  <mergeCells count="9">
    <mergeCell ref="E4:F4"/>
    <mergeCell ref="B5:C5"/>
    <mergeCell ref="E5:F5"/>
    <mergeCell ref="K5:L5"/>
    <mergeCell ref="H5:I5"/>
    <mergeCell ref="H4:I4"/>
    <mergeCell ref="B2:K2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3" t="inlineStr">
        <is>
          <t>IntelSource</t>
        </is>
      </c>
      <c r="B1" s="13" t="inlineStr">
        <is>
          <t>Priority</t>
        </is>
      </c>
      <c r="C1" s="13" t="inlineStr">
        <is>
          <t>Parish</t>
        </is>
      </c>
      <c r="D1" s="13" t="inlineStr">
        <is>
          <t>YesNo</t>
        </is>
      </c>
      <c r="E1" s="13" t="inlineStr">
        <is>
          <t>RecordStatus</t>
        </is>
      </c>
      <c r="F1" s="13" t="inlineStr">
        <is>
          <t>OperationType</t>
        </is>
      </c>
      <c r="G1" s="13" t="inlineStr">
        <is>
          <t>WarrantBasis</t>
        </is>
      </c>
      <c r="H1" s="13" t="inlineStr">
        <is>
          <t>OpOutcome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Search Warrant Execution</t>
        </is>
      </c>
      <c r="G2" t="inlineStr">
        <is>
          <t>Section 91 - Firearms Act 2022</t>
        </is>
      </c>
      <c r="H2" t="inlineStr">
        <is>
          <t>Successful - Seizure + Arrest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Snap Raid</t>
        </is>
      </c>
      <c r="G3" t="inlineStr">
        <is>
          <t>Section 21 - Dangerous Drugs Act</t>
        </is>
      </c>
      <c r="H3" t="inlineStr">
        <is>
          <t>Successful - Seizure Only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Port/Cargo Interdiction</t>
        </is>
      </c>
      <c r="G4" t="inlineStr">
        <is>
          <t>Section 14 - POCA 2007</t>
        </is>
      </c>
      <c r="H4" t="inlineStr">
        <is>
          <t>Successful - Arrest Only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Airport Interdiction</t>
        </is>
      </c>
      <c r="G5" t="inlineStr">
        <is>
          <t>ZOSO - Warrantless (s.5 ZOSO Act)</t>
        </is>
      </c>
      <c r="H5" t="inlineStr">
        <is>
          <t>Partial - Intel Developed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Vehicle Interception</t>
        </is>
      </c>
      <c r="G6" t="inlineStr">
        <is>
          <t>SOE - Warrantless</t>
        </is>
      </c>
      <c r="H6" t="inlineStr">
        <is>
          <t>Negative - No Finds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Coastal/Beach Operation</t>
        </is>
      </c>
      <c r="G7" t="inlineStr">
        <is>
          <t>Sergeant Written Directive (DDA s.21)</t>
        </is>
      </c>
      <c r="H7" t="inlineStr">
        <is>
          <t>Aborted - Compromised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Checkpoint</t>
        </is>
      </c>
      <c r="H8" t="inlineStr">
        <is>
          <t>Aborted - Safety Concern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Surveillance</t>
        </is>
      </c>
      <c r="H9" t="inlineStr">
        <is>
          <t>Ongoing</t>
        </is>
      </c>
    </row>
    <row r="10">
      <c r="A10" t="inlineStr">
        <is>
          <t>Divisional CIB</t>
        </is>
      </c>
      <c r="C10" t="inlineStr">
        <is>
          <t>St. Ann</t>
        </is>
      </c>
      <c r="F10" t="inlineStr">
        <is>
          <t>Joint Op - JCA</t>
        </is>
      </c>
    </row>
    <row r="11">
      <c r="A11" t="inlineStr">
        <is>
          <t>Patrol Intercept</t>
        </is>
      </c>
      <c r="C11" t="inlineStr">
        <is>
          <t>Trelawny</t>
        </is>
      </c>
      <c r="F11" t="inlineStr">
        <is>
          <t>Joint Op - JDF</t>
        </is>
      </c>
    </row>
    <row r="12">
      <c r="A12" t="inlineStr">
        <is>
          <t>C-TOC/SIB</t>
        </is>
      </c>
      <c r="C12" t="inlineStr">
        <is>
          <t>St. James</t>
        </is>
      </c>
      <c r="F12" t="inlineStr">
        <is>
          <t>Joint Op - MOCA</t>
        </is>
      </c>
    </row>
    <row r="13">
      <c r="A13" t="inlineStr">
        <is>
          <t>INTERPOL</t>
        </is>
      </c>
      <c r="C13" t="inlineStr">
        <is>
          <t>Hanover</t>
        </is>
      </c>
      <c r="F13" t="inlineStr">
        <is>
          <t>Joint Op - DEA</t>
        </is>
      </c>
    </row>
    <row r="14">
      <c r="A14" t="inlineStr">
        <is>
          <t>Walk-In Report</t>
        </is>
      </c>
      <c r="C14" t="inlineStr">
        <is>
          <t>Westmoreland</t>
        </is>
      </c>
      <c r="F14" t="inlineStr">
        <is>
          <t>Fugitive Apprehension</t>
        </is>
      </c>
    </row>
    <row r="15">
      <c r="A15" t="inlineStr">
        <is>
          <t>FNID Direct (923-6184)</t>
        </is>
      </c>
      <c r="C15" t="inlineStr">
        <is>
          <t>St. Catherine</t>
        </is>
      </c>
      <c r="F15" t="inlineStr">
        <is>
          <t>Follow-Up Secondary Op</t>
        </is>
      </c>
    </row>
    <row r="16">
      <c r="A16" t="inlineStr">
        <is>
          <t>UK NCA</t>
        </is>
      </c>
      <c r="F16" t="inlineStr">
        <is>
          <t>ZOSO Operation</t>
        </is>
      </c>
    </row>
    <row r="17">
      <c r="A17" t="inlineStr">
        <is>
          <t>US Marshals</t>
        </is>
      </c>
      <c r="F17" t="inlineStr">
        <is>
          <t>SOE Operation</t>
        </is>
      </c>
    </row>
    <row r="18">
      <c r="A18" t="inlineStr">
        <is>
          <t>Anonymous</t>
        </is>
      </c>
      <c r="F18" t="inlineStr">
        <is>
          <t>Courier/Parcel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