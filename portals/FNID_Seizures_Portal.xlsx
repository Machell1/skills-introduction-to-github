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Firearm_Seizures" sheetId="2" state="visible" r:id="rId2"/>
    <sheet xmlns:r="http://schemas.openxmlformats.org/officeDocument/2006/relationships" name="Narcotics_Seizures" sheetId="3" state="visible" r:id="rId3"/>
    <sheet xmlns:r="http://schemas.openxmlformats.org/officeDocument/2006/relationships" name="Other_Seizure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Look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B0F0"/>
      <sz val="20"/>
    </font>
    <font>
      <name val="Calibri"/>
      <i val="1"/>
      <color rgb="00808080"/>
      <sz val="11"/>
    </font>
    <font>
      <name val="Calibri"/>
      <b val="1"/>
      <color rgb="00002060"/>
      <sz val="12"/>
    </font>
    <font>
      <name val="Calibri"/>
      <b val="1"/>
      <sz val="10"/>
    </font>
    <font>
      <name val="Calibri"/>
      <sz val="10"/>
    </font>
    <font>
      <name val="Calibri"/>
      <color rgb="00808080"/>
      <sz val="9"/>
    </font>
    <font>
      <name val="Calibri"/>
      <b val="1"/>
      <color rgb="00FFFFFF"/>
      <sz val="10"/>
    </font>
    <font>
      <name val="Calibri"/>
      <b val="1"/>
      <color rgb="001F3864"/>
      <sz val="16"/>
    </font>
    <font>
      <name val="Calibri"/>
      <b val="1"/>
      <color rgb="001F3864"/>
      <sz val="2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7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D0E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Firearms by Type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'Dashboard'!$B$9:$B$14</f>
            </numRef>
          </cat>
          <val>
            <numRef>
              <f>'Dashboard'!$C$9:$C$14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Narcotics by Type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'Dashboard'!$B$18:$B$23</f>
            </numRef>
          </cat>
          <val>
            <numRef>
              <f>'Dashboard'!$C$18:$C$23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Seizures by Parish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'Dashboard'!$B$27:$B$29</f>
            </numRef>
          </cat>
          <val>
            <numRef>
              <f>'Dashboard'!$C$27:$C$29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16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25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FirearmSeizures" displayName="tbl_FirearmSeizures" ref="A1:T26" headerRowCount="1">
  <autoFilter ref="A1:T26"/>
  <tableColumns count="20">
    <tableColumn id="1" name="SeizureID"/>
    <tableColumn id="2" name="SeizureDate"/>
    <tableColumn id="3" name="LinkedOpID"/>
    <tableColumn id="4" name="Parish"/>
    <tableColumn id="5" name="Location"/>
    <tableColumn id="6" name="FirearmType"/>
    <tableColumn id="7" name="Make"/>
    <tableColumn id="8" name="Model"/>
    <tableColumn id="9" name="SerialNumber"/>
    <tableColumn id="10" name="Calibre"/>
    <tableColumn id="11" name="CountryOfOrigin"/>
    <tableColumn id="12" name="AmmoCount"/>
    <tableColumn id="13" name="MagazineCount"/>
    <tableColumn id="14" name="IBIS_Status"/>
    <tableColumn id="15" name="eTrace_Status"/>
    <tableColumn id="16" name="ExhibitTag"/>
    <tableColumn id="17" name="StorageLocation"/>
    <tableColumn id="18" name="SeizedBy"/>
    <tableColumn id="19" name="WitnessOfficer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NarcoticSeizures" displayName="tbl_NarcoticSeizures" ref="A1:R24" headerRowCount="1">
  <autoFilter ref="A1:R24"/>
  <tableColumns count="18">
    <tableColumn id="1" name="SeizureID"/>
    <tableColumn id="2" name="SeizureDate"/>
    <tableColumn id="3" name="LinkedOpID"/>
    <tableColumn id="4" name="Parish"/>
    <tableColumn id="5" name="Location"/>
    <tableColumn id="6" name="DrugType"/>
    <tableColumn id="7" name="Quantity"/>
    <tableColumn id="8" name="Unit"/>
    <tableColumn id="9" name="EstStreetValue_JMD"/>
    <tableColumn id="10" name="PackagingMethod"/>
    <tableColumn id="11" name="ConcealmentMethod"/>
    <tableColumn id="12" name="FieldTestResult"/>
    <tableColumn id="13" name="LabCertStatus"/>
    <tableColumn id="14" name="ExhibitTag"/>
    <tableColumn id="15" name="StorageLocation"/>
    <tableColumn id="16" name="SeizedBy"/>
    <tableColumn id="17" name="WitnessOfficer"/>
    <tableColumn id="1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OtherSeizures" displayName="tbl_OtherSeizures" ref="A1:N23" headerRowCount="1">
  <autoFilter ref="A1:N23"/>
  <tableColumns count="14">
    <tableColumn id="1" name="SeizureID"/>
    <tableColumn id="2" name="SeizureDate"/>
    <tableColumn id="3" name="LinkedOpID"/>
    <tableColumn id="4" name="Parish"/>
    <tableColumn id="5" name="Location"/>
    <tableColumn id="6" name="ItemType"/>
    <tableColumn id="7" name="Description"/>
    <tableColumn id="8" name="Quantity"/>
    <tableColumn id="9" name="EstValue_JMD"/>
    <tableColumn id="10" name="ExhibitTag"/>
    <tableColumn id="11" name="StorageLocation"/>
    <tableColumn id="12" name="SeizedBy"/>
    <tableColumn id="13" name="WitnessOfficer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40" customWidth="1" min="3" max="3"/>
  </cols>
  <sheetData>
    <row r="2">
      <c r="B2" s="1" t="inlineStr">
        <is>
          <t>FNID AREA 3 - SEIZURES UNIT PORTAL</t>
        </is>
      </c>
    </row>
    <row r="3">
      <c r="B3" s="2" t="inlineStr">
        <is>
          <t>Jamaica Constabulary Force | Manchester | St. Elizabeth | Clarendon</t>
        </is>
      </c>
    </row>
    <row r="5">
      <c r="B5" s="3" t="inlineStr">
        <is>
          <t>PORTAL NAVIGATION</t>
        </is>
      </c>
    </row>
    <row r="6">
      <c r="B6" s="4" t="inlineStr">
        <is>
          <t xml:space="preserve">  Firearm_Seizures</t>
        </is>
      </c>
      <c r="C6" s="5" t="inlineStr">
        <is>
          <t>Firearm and ammunition seizure log</t>
        </is>
      </c>
    </row>
    <row r="7">
      <c r="B7" s="4" t="inlineStr">
        <is>
          <t xml:space="preserve">  Narcotics_Seizures</t>
        </is>
      </c>
      <c r="C7" s="5" t="inlineStr">
        <is>
          <t>Narcotics seizure log</t>
        </is>
      </c>
    </row>
    <row r="8">
      <c r="B8" s="4" t="inlineStr">
        <is>
          <t xml:space="preserve">  Other_Seizures</t>
        </is>
      </c>
      <c r="C8" s="5" t="inlineStr">
        <is>
          <t>Cash, electronics, vehicle seizures</t>
        </is>
      </c>
    </row>
    <row r="9">
      <c r="B9" s="4" t="inlineStr">
        <is>
          <t xml:space="preserve">  Dashboard</t>
        </is>
      </c>
      <c r="C9" s="5" t="inlineStr">
        <is>
          <t>Seizure KPIs and charts</t>
        </is>
      </c>
    </row>
    <row r="10">
      <c r="B10" s="4" t="inlineStr">
        <is>
          <t xml:space="preserve">  Lookups</t>
        </is>
      </c>
      <c r="C10" s="5" t="inlineStr">
        <is>
          <t>Dropdown reference data</t>
        </is>
      </c>
    </row>
    <row r="12">
      <c r="B12" s="3" t="inlineStr">
        <is>
          <t>SUBMISSION WORKFLOW</t>
        </is>
      </c>
    </row>
    <row r="13">
      <c r="B13" s="5" t="inlineStr">
        <is>
          <t>1. Enter data in the data entry sheet(s)</t>
        </is>
      </c>
    </row>
    <row r="14">
      <c r="B14" s="5" t="inlineStr">
        <is>
          <t>2. Set RecordStatus to 'Draft' while working</t>
        </is>
      </c>
    </row>
    <row r="15">
      <c r="B15" s="5" t="inlineStr">
        <is>
          <t>3. Fill SubmittedBy with your name/badge when ready</t>
        </is>
      </c>
    </row>
    <row r="16">
      <c r="B16" s="5" t="inlineStr">
        <is>
          <t>4. Change RecordStatus to 'Submitted' to finalize</t>
        </is>
      </c>
    </row>
    <row r="17">
      <c r="B17" s="5" t="inlineStr">
        <is>
          <t>5. To edit a submitted record, change status to 'Edited'</t>
        </is>
      </c>
    </row>
    <row r="18">
      <c r="B18" s="5" t="inlineStr">
        <is>
          <t>6. Use the Dashboard sheet to view KPIs and charts</t>
        </is>
      </c>
    </row>
    <row r="20">
      <c r="B20" s="6" t="inlineStr">
        <is>
          <t>Generated: 2026-02-27 06:20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F0"/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2" customWidth="1" min="5" max="5"/>
    <col width="18" customWidth="1" min="6" max="6"/>
    <col width="14" customWidth="1" min="7" max="7"/>
    <col width="14" customWidth="1" min="8" max="8"/>
    <col width="16" customWidth="1" min="9" max="9"/>
    <col width="12" customWidth="1" min="10" max="10"/>
    <col width="16" customWidth="1" min="11" max="11"/>
    <col width="10" customWidth="1" min="12" max="12"/>
    <col width="10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16" customWidth="1" min="19" max="19"/>
    <col width="28" customWidth="1" min="20" max="20"/>
    <col width="14" customWidth="1" min="21" max="21"/>
    <col width="16" customWidth="1" min="22" max="22"/>
    <col width="14" customWidth="1" min="23" max="23"/>
    <col width="16" customWidth="1" min="24" max="24"/>
    <col width="14" customWidth="1" min="25" max="25"/>
  </cols>
  <sheetData>
    <row r="1">
      <c r="A1" s="7" t="inlineStr">
        <is>
          <t>SeizureID</t>
        </is>
      </c>
      <c r="B1" s="7" t="inlineStr">
        <is>
          <t>SeizureDate</t>
        </is>
      </c>
      <c r="C1" s="7" t="inlineStr">
        <is>
          <t>LinkedOpID</t>
        </is>
      </c>
      <c r="D1" s="7" t="inlineStr">
        <is>
          <t>Parish</t>
        </is>
      </c>
      <c r="E1" s="7" t="inlineStr">
        <is>
          <t>Location</t>
        </is>
      </c>
      <c r="F1" s="7" t="inlineStr">
        <is>
          <t>FirearmType</t>
        </is>
      </c>
      <c r="G1" s="7" t="inlineStr">
        <is>
          <t>Make</t>
        </is>
      </c>
      <c r="H1" s="7" t="inlineStr">
        <is>
          <t>Model</t>
        </is>
      </c>
      <c r="I1" s="7" t="inlineStr">
        <is>
          <t>SerialNumber</t>
        </is>
      </c>
      <c r="J1" s="7" t="inlineStr">
        <is>
          <t>Calibre</t>
        </is>
      </c>
      <c r="K1" s="7" t="inlineStr">
        <is>
          <t>CountryOfOrigin</t>
        </is>
      </c>
      <c r="L1" s="7" t="inlineStr">
        <is>
          <t>AmmoCount</t>
        </is>
      </c>
      <c r="M1" s="7" t="inlineStr">
        <is>
          <t>MagazineCount</t>
        </is>
      </c>
      <c r="N1" s="7" t="inlineStr">
        <is>
          <t>IBIS_Status</t>
        </is>
      </c>
      <c r="O1" s="7" t="inlineStr">
        <is>
          <t>eTrace_Status</t>
        </is>
      </c>
      <c r="P1" s="7" t="inlineStr">
        <is>
          <t>ExhibitTag</t>
        </is>
      </c>
      <c r="Q1" s="7" t="inlineStr">
        <is>
          <t>StorageLocation</t>
        </is>
      </c>
      <c r="R1" s="7" t="inlineStr">
        <is>
          <t>SeizedBy</t>
        </is>
      </c>
      <c r="S1" s="7" t="inlineStr">
        <is>
          <t>WitnessOfficer</t>
        </is>
      </c>
      <c r="T1" s="7" t="inlineStr">
        <is>
          <t>Notes</t>
        </is>
      </c>
      <c r="U1" s="7" t="inlineStr">
        <is>
          <t>RecordStatus</t>
        </is>
      </c>
      <c r="V1" s="7" t="inlineStr">
        <is>
          <t>SubmittedBy</t>
        </is>
      </c>
      <c r="W1" s="7" t="inlineStr">
        <is>
          <t>SubmittedDate</t>
        </is>
      </c>
      <c r="X1" s="7" t="inlineStr">
        <is>
          <t>LastEditedBy</t>
        </is>
      </c>
      <c r="Y1" s="7" t="inlineStr">
        <is>
          <t>LastEditedDate</t>
        </is>
      </c>
    </row>
    <row r="2">
      <c r="A2" s="8" t="inlineStr">
        <is>
          <t>FS-2025-001</t>
        </is>
      </c>
      <c r="B2" s="8" t="inlineStr">
        <is>
          <t>2025-01-20</t>
        </is>
      </c>
      <c r="C2" s="8" t="inlineStr">
        <is>
          <t>OP-2025-001</t>
        </is>
      </c>
      <c r="D2" s="8" t="inlineStr">
        <is>
          <t>Manchester</t>
        </is>
      </c>
      <c r="E2" s="8" t="inlineStr">
        <is>
          <t>Lot 14 Green Ave, Mandeville</t>
        </is>
      </c>
      <c r="F2" s="8" t="inlineStr">
        <is>
          <t>Pistol - Semi-Auto</t>
        </is>
      </c>
      <c r="G2" s="8" t="inlineStr">
        <is>
          <t>Glock</t>
        </is>
      </c>
      <c r="H2" s="8" t="inlineStr">
        <is>
          <t>19</t>
        </is>
      </c>
      <c r="I2" s="8" t="inlineStr">
        <is>
          <t>ABC12345</t>
        </is>
      </c>
      <c r="J2" s="8" t="inlineStr">
        <is>
          <t>9mm</t>
        </is>
      </c>
      <c r="K2" s="8" t="inlineStr">
        <is>
          <t>USA</t>
        </is>
      </c>
      <c r="L2" s="8" t="n">
        <v>15</v>
      </c>
      <c r="M2" s="8" t="n">
        <v>1</v>
      </c>
      <c r="N2" s="8" t="inlineStr">
        <is>
          <t>Submitted - Pending</t>
        </is>
      </c>
      <c r="O2" s="8" t="inlineStr">
        <is>
          <t>Submitted - Pending</t>
        </is>
      </c>
      <c r="P2" s="8" t="inlineStr">
        <is>
          <t>EXH-FA-001</t>
        </is>
      </c>
      <c r="Q2" s="8" t="inlineStr">
        <is>
          <t>FNID Armoury</t>
        </is>
      </c>
      <c r="R2" s="8" t="inlineStr">
        <is>
          <t>DC Williams</t>
        </is>
      </c>
      <c r="S2" s="8" t="inlineStr">
        <is>
          <t>Cpl. James</t>
        </is>
      </c>
      <c r="T2" s="8" t="inlineStr">
        <is>
          <t>Found buried in backyard</t>
        </is>
      </c>
    </row>
    <row r="3">
      <c r="A3" s="8" t="inlineStr">
        <is>
          <t>FS-2025-002</t>
        </is>
      </c>
      <c r="B3" s="8" t="inlineStr">
        <is>
          <t>2025-01-20</t>
        </is>
      </c>
      <c r="C3" s="8" t="inlineStr">
        <is>
          <t>OP-2025-001</t>
        </is>
      </c>
      <c r="D3" s="8" t="inlineStr">
        <is>
          <t>Manchester</t>
        </is>
      </c>
      <c r="E3" s="8" t="inlineStr">
        <is>
          <t>Lot 14 Green Ave, Mandeville</t>
        </is>
      </c>
      <c r="F3" s="8" t="inlineStr">
        <is>
          <t>Pistol - Revolver</t>
        </is>
      </c>
      <c r="G3" s="8" t="inlineStr">
        <is>
          <t>Smith &amp; Wesson</t>
        </is>
      </c>
      <c r="H3" s="8" t="inlineStr">
        <is>
          <t>686</t>
        </is>
      </c>
      <c r="I3" s="8" t="inlineStr">
        <is>
          <t>XYZ98765</t>
        </is>
      </c>
      <c r="J3" s="8" t="inlineStr">
        <is>
          <t>.38 Special</t>
        </is>
      </c>
      <c r="K3" s="8" t="inlineStr">
        <is>
          <t>USA</t>
        </is>
      </c>
      <c r="L3" s="8" t="n">
        <v>30</v>
      </c>
      <c r="M3" s="8" t="n">
        <v>0</v>
      </c>
      <c r="N3" s="8" t="inlineStr">
        <is>
          <t>Submitted - Pending</t>
        </is>
      </c>
      <c r="O3" s="8" t="inlineStr">
        <is>
          <t>Traced - US Origin</t>
        </is>
      </c>
      <c r="P3" s="8" t="inlineStr">
        <is>
          <t>EXH-FA-002</t>
        </is>
      </c>
      <c r="Q3" s="8" t="inlineStr">
        <is>
          <t>FNID Armoury</t>
        </is>
      </c>
      <c r="R3" s="8" t="inlineStr">
        <is>
          <t>DC Williams</t>
        </is>
      </c>
      <c r="S3" s="8" t="inlineStr">
        <is>
          <t>Cpl. James</t>
        </is>
      </c>
      <c r="T3" s="8" t="inlineStr">
        <is>
          <t>Loaded, found under mattress</t>
        </is>
      </c>
    </row>
    <row r="4">
      <c r="A4" s="8" t="inlineStr">
        <is>
          <t>FS-2025-003</t>
        </is>
      </c>
      <c r="B4" s="8" t="inlineStr">
        <is>
          <t>2025-03-05</t>
        </is>
      </c>
      <c r="C4" s="8" t="inlineStr">
        <is>
          <t>OP-2025-004</t>
        </is>
      </c>
      <c r="D4" s="8" t="inlineStr">
        <is>
          <t>Manchester</t>
        </is>
      </c>
      <c r="E4" s="8" t="inlineStr">
        <is>
          <t>Christiana district</t>
        </is>
      </c>
      <c r="F4" s="8" t="inlineStr">
        <is>
          <t>Rifle - Assault</t>
        </is>
      </c>
      <c r="G4" s="8" t="inlineStr">
        <is>
          <t>Unknown</t>
        </is>
      </c>
      <c r="H4" s="8" t="inlineStr">
        <is>
          <t>AR-15 pattern</t>
        </is>
      </c>
      <c r="I4" s="8" t="inlineStr">
        <is>
          <t>OBLITERATED</t>
        </is>
      </c>
      <c r="J4" s="8" t="inlineStr">
        <is>
          <t>5.56mm/.223</t>
        </is>
      </c>
      <c r="K4" s="8" t="inlineStr">
        <is>
          <t>Unknown</t>
        </is>
      </c>
      <c r="L4" s="8" t="n">
        <v>60</v>
      </c>
      <c r="M4" s="8" t="n">
        <v>2</v>
      </c>
      <c r="N4" s="8" t="inlineStr">
        <is>
          <t>Submitted - Pending</t>
        </is>
      </c>
      <c r="O4" s="8" t="inlineStr">
        <is>
          <t>Untraceable - Obliterated</t>
        </is>
      </c>
      <c r="P4" s="8" t="inlineStr">
        <is>
          <t>EXH-FA-003</t>
        </is>
      </c>
      <c r="Q4" s="8" t="inlineStr">
        <is>
          <t>FNID Armoury</t>
        </is>
      </c>
      <c r="R4" s="8" t="inlineStr">
        <is>
          <t>Supt. Davis</t>
        </is>
      </c>
      <c r="S4" s="8" t="inlineStr">
        <is>
          <t>Insp. Brown</t>
        </is>
      </c>
      <c r="T4" s="8" t="inlineStr">
        <is>
          <t>Serial number filed off</t>
        </is>
      </c>
    </row>
    <row r="5">
      <c r="A5" s="8" t="inlineStr">
        <is>
          <t>FS-2025-004</t>
        </is>
      </c>
      <c r="B5" s="8" t="inlineStr">
        <is>
          <t>2025-03-05</t>
        </is>
      </c>
      <c r="C5" s="8" t="inlineStr">
        <is>
          <t>OP-2025-004</t>
        </is>
      </c>
      <c r="D5" s="8" t="inlineStr">
        <is>
          <t>Manchester</t>
        </is>
      </c>
      <c r="E5" s="8" t="inlineStr">
        <is>
          <t>Christiana district</t>
        </is>
      </c>
      <c r="F5" s="8" t="inlineStr">
        <is>
          <t>Shotgun</t>
        </is>
      </c>
      <c r="G5" s="8" t="inlineStr">
        <is>
          <t>Mossberg</t>
        </is>
      </c>
      <c r="H5" s="8" t="inlineStr">
        <is>
          <t>500</t>
        </is>
      </c>
      <c r="I5" s="8" t="inlineStr">
        <is>
          <t>MOB55443</t>
        </is>
      </c>
      <c r="J5" s="8" t="inlineStr">
        <is>
          <t>12 Gauge</t>
        </is>
      </c>
      <c r="K5" s="8" t="inlineStr">
        <is>
          <t>USA</t>
        </is>
      </c>
      <c r="L5" s="8" t="n">
        <v>25</v>
      </c>
      <c r="M5" s="8" t="n">
        <v>0</v>
      </c>
      <c r="N5" s="8" t="inlineStr">
        <is>
          <t>No Match</t>
        </is>
      </c>
      <c r="O5" s="8" t="inlineStr">
        <is>
          <t>Traced - US Origin</t>
        </is>
      </c>
      <c r="P5" s="8" t="inlineStr">
        <is>
          <t>EXH-FA-004</t>
        </is>
      </c>
      <c r="Q5" s="8" t="inlineStr">
        <is>
          <t>FNID Armoury</t>
        </is>
      </c>
      <c r="R5" s="8" t="inlineStr">
        <is>
          <t>DC Thompson</t>
        </is>
      </c>
      <c r="S5" s="8" t="inlineStr">
        <is>
          <t>Cpl. James</t>
        </is>
      </c>
      <c r="T5" s="8" t="inlineStr"/>
    </row>
    <row r="6">
      <c r="A6" s="8" t="inlineStr">
        <is>
          <t>FS-2025-005</t>
        </is>
      </c>
      <c r="B6" s="8" t="inlineStr">
        <is>
          <t>2025-03-05</t>
        </is>
      </c>
      <c r="C6" s="8" t="inlineStr">
        <is>
          <t>OP-2025-004</t>
        </is>
      </c>
      <c r="D6" s="8" t="inlineStr">
        <is>
          <t>Manchester</t>
        </is>
      </c>
      <c r="E6" s="8" t="inlineStr">
        <is>
          <t>Christiana district</t>
        </is>
      </c>
      <c r="F6" s="8" t="inlineStr">
        <is>
          <t>Pistol - Semi-Auto</t>
        </is>
      </c>
      <c r="G6" s="8" t="inlineStr">
        <is>
          <t>Taurus</t>
        </is>
      </c>
      <c r="H6" s="8" t="inlineStr">
        <is>
          <t>G2C</t>
        </is>
      </c>
      <c r="I6" s="8" t="inlineStr">
        <is>
          <t>TAU99001</t>
        </is>
      </c>
      <c r="J6" s="8" t="inlineStr">
        <is>
          <t>9mm</t>
        </is>
      </c>
      <c r="K6" s="8" t="inlineStr">
        <is>
          <t>Brazil</t>
        </is>
      </c>
      <c r="L6" s="8" t="n">
        <v>17</v>
      </c>
      <c r="M6" s="8" t="n">
        <v>1</v>
      </c>
      <c r="N6" s="8" t="inlineStr">
        <is>
          <t>Hit - Confirmed Match</t>
        </is>
      </c>
      <c r="O6" s="8" t="inlineStr">
        <is>
          <t>Traced - Non-US Origin</t>
        </is>
      </c>
      <c r="P6" s="8" t="inlineStr">
        <is>
          <t>EXH-FA-005</t>
        </is>
      </c>
      <c r="Q6" s="8" t="inlineStr">
        <is>
          <t>FNID Armoury</t>
        </is>
      </c>
      <c r="R6" s="8" t="inlineStr">
        <is>
          <t>DC Thompson</t>
        </is>
      </c>
      <c r="S6" s="8" t="inlineStr">
        <is>
          <t>Insp. Brown</t>
        </is>
      </c>
      <c r="T6" s="8" t="inlineStr">
        <is>
          <t>IBIS hit - linked to 2024 shooting in Kingston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</row>
  </sheetData>
  <conditionalFormatting sqref="U2:U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5">
    <dataValidation sqref="U2:U26" showDropDown="0" showInputMessage="0" showErrorMessage="0" allowBlank="1" errorTitle="Invalid" error="Select from dropdown" type="list">
      <formula1>"Draft,Submitted,Edited"</formula1>
    </dataValidation>
    <dataValidation sqref="D2:D500" showDropDown="0" showInputMessage="0" showErrorMessage="0" allowBlank="1" errorTitle="Invalid" error="Select from dropdown" type="list">
      <formula1>Lookups!$C$2:$C$20</formula1>
    </dataValidation>
    <dataValidation sqref="F2:F500" showDropDown="0" showInputMessage="0" showErrorMessage="0" allowBlank="1" errorTitle="Invalid" error="Select from dropdown" type="list">
      <formula1>Lookups!$F$2:$F$20</formula1>
    </dataValidation>
    <dataValidation sqref="J2:J500" showDropDown="0" showInputMessage="0" showErrorMessage="0" allowBlank="1" errorTitle="Invalid" error="Select from dropdown" type="list">
      <formula1>Lookups!$G$2:$G$20</formula1>
    </dataValidation>
    <dataValidation sqref="N2:N500" showDropDown="0" showInputMessage="0" showErrorMessage="0" allowBlank="1" errorTitle="Invalid" error="Select from dropdown" type="list">
      <formula1>Lookups!$G$2:$G$10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0B0F0"/>
    <outlinePr summaryBelow="1" summaryRight="1"/>
    <pageSetUpPr/>
  </sheetPr>
  <dimension ref="A1:W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2" customWidth="1" min="5" max="5"/>
    <col width="22" customWidth="1" min="6" max="6"/>
    <col width="10" customWidth="1" min="7" max="7"/>
    <col width="8" customWidth="1" min="8" max="8"/>
    <col width="16" customWidth="1" min="9" max="9"/>
    <col width="18" customWidth="1" min="10" max="10"/>
    <col width="20" customWidth="1" min="11" max="11"/>
    <col width="14" customWidth="1" min="12" max="12"/>
    <col width="16" customWidth="1" min="13" max="13"/>
    <col width="14" customWidth="1" min="14" max="14"/>
    <col width="16" customWidth="1" min="15" max="15"/>
    <col width="16" customWidth="1" min="16" max="16"/>
    <col width="16" customWidth="1" min="17" max="17"/>
    <col width="28" customWidth="1" min="18" max="18"/>
    <col width="14" customWidth="1" min="19" max="19"/>
    <col width="16" customWidth="1" min="20" max="20"/>
    <col width="14" customWidth="1" min="21" max="21"/>
    <col width="16" customWidth="1" min="22" max="22"/>
    <col width="14" customWidth="1" min="23" max="23"/>
  </cols>
  <sheetData>
    <row r="1">
      <c r="A1" s="7" t="inlineStr">
        <is>
          <t>SeizureID</t>
        </is>
      </c>
      <c r="B1" s="7" t="inlineStr">
        <is>
          <t>SeizureDate</t>
        </is>
      </c>
      <c r="C1" s="7" t="inlineStr">
        <is>
          <t>LinkedOpID</t>
        </is>
      </c>
      <c r="D1" s="7" t="inlineStr">
        <is>
          <t>Parish</t>
        </is>
      </c>
      <c r="E1" s="7" t="inlineStr">
        <is>
          <t>Location</t>
        </is>
      </c>
      <c r="F1" s="7" t="inlineStr">
        <is>
          <t>DrugType</t>
        </is>
      </c>
      <c r="G1" s="7" t="inlineStr">
        <is>
          <t>Quantity</t>
        </is>
      </c>
      <c r="H1" s="7" t="inlineStr">
        <is>
          <t>Unit</t>
        </is>
      </c>
      <c r="I1" s="7" t="inlineStr">
        <is>
          <t>EstStreetValue_JMD</t>
        </is>
      </c>
      <c r="J1" s="7" t="inlineStr">
        <is>
          <t>PackagingMethod</t>
        </is>
      </c>
      <c r="K1" s="7" t="inlineStr">
        <is>
          <t>ConcealmentMethod</t>
        </is>
      </c>
      <c r="L1" s="7" t="inlineStr">
        <is>
          <t>FieldTestResult</t>
        </is>
      </c>
      <c r="M1" s="7" t="inlineStr">
        <is>
          <t>LabCertStatus</t>
        </is>
      </c>
      <c r="N1" s="7" t="inlineStr">
        <is>
          <t>ExhibitTag</t>
        </is>
      </c>
      <c r="O1" s="7" t="inlineStr">
        <is>
          <t>StorageLocation</t>
        </is>
      </c>
      <c r="P1" s="7" t="inlineStr">
        <is>
          <t>SeizedBy</t>
        </is>
      </c>
      <c r="Q1" s="7" t="inlineStr">
        <is>
          <t>WitnessOfficer</t>
        </is>
      </c>
      <c r="R1" s="7" t="inlineStr">
        <is>
          <t>Notes</t>
        </is>
      </c>
      <c r="S1" s="7" t="inlineStr">
        <is>
          <t>RecordStatus</t>
        </is>
      </c>
      <c r="T1" s="7" t="inlineStr">
        <is>
          <t>SubmittedBy</t>
        </is>
      </c>
      <c r="U1" s="7" t="inlineStr">
        <is>
          <t>SubmittedDate</t>
        </is>
      </c>
      <c r="V1" s="7" t="inlineStr">
        <is>
          <t>LastEditedBy</t>
        </is>
      </c>
      <c r="W1" s="7" t="inlineStr">
        <is>
          <t>LastEditedDate</t>
        </is>
      </c>
    </row>
    <row r="2">
      <c r="A2" s="8" t="inlineStr">
        <is>
          <t>NS-2025-001</t>
        </is>
      </c>
      <c r="B2" s="8" t="inlineStr">
        <is>
          <t>2025-01-25</t>
        </is>
      </c>
      <c r="C2" s="8" t="inlineStr">
        <is>
          <t>OP-2025-002</t>
        </is>
      </c>
      <c r="D2" s="8" t="inlineStr">
        <is>
          <t>St. Elizabeth</t>
        </is>
      </c>
      <c r="E2" s="8" t="inlineStr">
        <is>
          <t>Black River Bay</t>
        </is>
      </c>
      <c r="F2" s="8" t="inlineStr">
        <is>
          <t>Cocaine - Powder</t>
        </is>
      </c>
      <c r="G2" s="8" t="n">
        <v>32</v>
      </c>
      <c r="H2" s="8" t="inlineStr">
        <is>
          <t>kg</t>
        </is>
      </c>
      <c r="I2" s="8" t="n">
        <v>96000000</v>
      </c>
      <c r="J2" s="8" t="inlineStr">
        <is>
          <t>Brick wrapped in tape</t>
        </is>
      </c>
      <c r="K2" s="8" t="inlineStr">
        <is>
          <t>Hidden in fish hold</t>
        </is>
      </c>
      <c r="L2" s="8" t="inlineStr">
        <is>
          <t>Positive</t>
        </is>
      </c>
      <c r="M2" s="8" t="inlineStr">
        <is>
          <t>Submitted to IFSLM</t>
        </is>
      </c>
      <c r="N2" s="8" t="inlineStr">
        <is>
          <t>EXH-NA-001</t>
        </is>
      </c>
      <c r="O2" s="8" t="inlineStr">
        <is>
          <t>FNID Evidence Room</t>
        </is>
      </c>
      <c r="P2" s="8" t="inlineStr">
        <is>
          <t>Supt. Davis</t>
        </is>
      </c>
      <c r="Q2" s="8" t="inlineStr">
        <is>
          <t>Insp. Morgan</t>
        </is>
      </c>
      <c r="R2" s="8" t="inlineStr">
        <is>
          <t>32 bricks recovered from vessel</t>
        </is>
      </c>
    </row>
    <row r="3">
      <c r="A3" s="8" t="inlineStr">
        <is>
          <t>NS-2025-002</t>
        </is>
      </c>
      <c r="B3" s="8" t="inlineStr">
        <is>
          <t>2025-03-05</t>
        </is>
      </c>
      <c r="C3" s="8" t="inlineStr">
        <is>
          <t>OP-2025-004</t>
        </is>
      </c>
      <c r="D3" s="8" t="inlineStr">
        <is>
          <t>Manchester</t>
        </is>
      </c>
      <c r="E3" s="8" t="inlineStr">
        <is>
          <t>Christiana district</t>
        </is>
      </c>
      <c r="F3" s="8" t="inlineStr">
        <is>
          <t>Cocaine - Powder</t>
        </is>
      </c>
      <c r="G3" s="8" t="n">
        <v>2</v>
      </c>
      <c r="H3" s="8" t="inlineStr">
        <is>
          <t>kg</t>
        </is>
      </c>
      <c r="I3" s="8" t="n">
        <v>6000000</v>
      </c>
      <c r="J3" s="8" t="inlineStr">
        <is>
          <t>Vacuum sealed bags</t>
        </is>
      </c>
      <c r="K3" s="8" t="inlineStr">
        <is>
          <t>False wall in house</t>
        </is>
      </c>
      <c r="L3" s="8" t="inlineStr">
        <is>
          <t>Positive</t>
        </is>
      </c>
      <c r="M3" s="8" t="inlineStr">
        <is>
          <t>Certificate Issued</t>
        </is>
      </c>
      <c r="N3" s="8" t="inlineStr">
        <is>
          <t>EXH-NA-002</t>
        </is>
      </c>
      <c r="O3" s="8" t="inlineStr">
        <is>
          <t>FNID Evidence Room</t>
        </is>
      </c>
      <c r="P3" s="8" t="inlineStr">
        <is>
          <t>DC Williams</t>
        </is>
      </c>
      <c r="Q3" s="8" t="inlineStr">
        <is>
          <t>Cpl. James</t>
        </is>
      </c>
      <c r="R3" s="8" t="inlineStr">
        <is>
          <t>Found with firearms cache</t>
        </is>
      </c>
    </row>
    <row r="4">
      <c r="A4" s="8" t="inlineStr">
        <is>
          <t>NS-2025-003</t>
        </is>
      </c>
      <c r="B4" s="8" t="inlineStr">
        <is>
          <t>2025-03-22</t>
        </is>
      </c>
      <c r="C4" s="8" t="inlineStr">
        <is>
          <t>OP-2025-006</t>
        </is>
      </c>
      <c r="D4" s="8" t="inlineStr">
        <is>
          <t>Clarendon</t>
        </is>
      </c>
      <c r="E4" s="8" t="inlineStr">
        <is>
          <t>Highway 2000 checkpoint</t>
        </is>
      </c>
      <c r="F4" s="8" t="inlineStr">
        <is>
          <t>Cocaine - Powder</t>
        </is>
      </c>
      <c r="G4" s="8" t="n">
        <v>0.2</v>
      </c>
      <c r="H4" s="8" t="inlineStr">
        <is>
          <t>kg</t>
        </is>
      </c>
      <c r="I4" s="8" t="n">
        <v>600000</v>
      </c>
      <c r="J4" s="8" t="inlineStr">
        <is>
          <t>Small bags</t>
        </is>
      </c>
      <c r="K4" s="8" t="inlineStr">
        <is>
          <t>Vehicle hidden compartment</t>
        </is>
      </c>
      <c r="L4" s="8" t="inlineStr">
        <is>
          <t>Positive</t>
        </is>
      </c>
      <c r="M4" s="8" t="inlineStr">
        <is>
          <t>Submitted to IFSLM</t>
        </is>
      </c>
      <c r="N4" s="8" t="inlineStr">
        <is>
          <t>EXH-NA-003</t>
        </is>
      </c>
      <c r="O4" s="8" t="inlineStr">
        <is>
          <t>FNID Evidence Room</t>
        </is>
      </c>
      <c r="P4" s="8" t="inlineStr">
        <is>
          <t>DC Williams</t>
        </is>
      </c>
      <c r="Q4" s="8" t="inlineStr">
        <is>
          <t>Cpl. James</t>
        </is>
      </c>
      <c r="R4" s="8" t="inlineStr">
        <is>
          <t>Found with pistol and cash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</sheetData>
  <conditionalFormatting sqref="S2:S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4">
    <dataValidation sqref="S2:S24" showDropDown="0" showInputMessage="0" showErrorMessage="0" allowBlank="1" errorTitle="Invalid" error="Select from dropdown" type="list">
      <formula1>"Draft,Submitted,Edited"</formula1>
    </dataValidation>
    <dataValidation sqref="D2:D500" showDropDown="0" showInputMessage="0" showErrorMessage="0" allowBlank="1" errorTitle="Invalid" error="Select from dropdown" type="list">
      <formula1>Lookups!$C$2:$C$20</formula1>
    </dataValidation>
    <dataValidation sqref="F2:F500" showDropDown="0" showInputMessage="0" showErrorMessage="0" allowBlank="1" errorTitle="Invalid" error="Select from dropdown" type="list">
      <formula1>Lookups!$H$2:$H$15</formula1>
    </dataValidation>
    <dataValidation sqref="H2:H500" showDropDown="0" showInputMessage="0" showErrorMessage="0" allowBlank="1" errorTitle="Invalid" error="Select from dropdown" type="list">
      <formula1>Lookups!$I$2:$I$12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0B0F0"/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22" customWidth="1" min="5" max="5"/>
    <col width="16" customWidth="1" min="6" max="6"/>
    <col width="28" customWidth="1" min="7" max="7"/>
    <col width="10" customWidth="1" min="8" max="8"/>
    <col width="14" customWidth="1" min="9" max="9"/>
    <col width="14" customWidth="1" min="10" max="10"/>
    <col width="16" customWidth="1" min="11" max="11"/>
    <col width="16" customWidth="1" min="12" max="12"/>
    <col width="16" customWidth="1" min="13" max="13"/>
    <col width="28" customWidth="1" min="14" max="14"/>
    <col width="14" customWidth="1" min="15" max="15"/>
    <col width="16" customWidth="1" min="16" max="16"/>
    <col width="14" customWidth="1" min="17" max="17"/>
    <col width="16" customWidth="1" min="18" max="18"/>
    <col width="14" customWidth="1" min="19" max="19"/>
  </cols>
  <sheetData>
    <row r="1">
      <c r="A1" s="7" t="inlineStr">
        <is>
          <t>SeizureID</t>
        </is>
      </c>
      <c r="B1" s="7" t="inlineStr">
        <is>
          <t>SeizureDate</t>
        </is>
      </c>
      <c r="C1" s="7" t="inlineStr">
        <is>
          <t>LinkedOpID</t>
        </is>
      </c>
      <c r="D1" s="7" t="inlineStr">
        <is>
          <t>Parish</t>
        </is>
      </c>
      <c r="E1" s="7" t="inlineStr">
        <is>
          <t>Location</t>
        </is>
      </c>
      <c r="F1" s="7" t="inlineStr">
        <is>
          <t>ItemType</t>
        </is>
      </c>
      <c r="G1" s="7" t="inlineStr">
        <is>
          <t>Description</t>
        </is>
      </c>
      <c r="H1" s="7" t="inlineStr">
        <is>
          <t>Quantity</t>
        </is>
      </c>
      <c r="I1" s="7" t="inlineStr">
        <is>
          <t>EstValue_JMD</t>
        </is>
      </c>
      <c r="J1" s="7" t="inlineStr">
        <is>
          <t>ExhibitTag</t>
        </is>
      </c>
      <c r="K1" s="7" t="inlineStr">
        <is>
          <t>StorageLocation</t>
        </is>
      </c>
      <c r="L1" s="7" t="inlineStr">
        <is>
          <t>SeizedBy</t>
        </is>
      </c>
      <c r="M1" s="7" t="inlineStr">
        <is>
          <t>WitnessOfficer</t>
        </is>
      </c>
      <c r="N1" s="7" t="inlineStr">
        <is>
          <t>Notes</t>
        </is>
      </c>
      <c r="O1" s="7" t="inlineStr">
        <is>
          <t>RecordStatus</t>
        </is>
      </c>
      <c r="P1" s="7" t="inlineStr">
        <is>
          <t>SubmittedBy</t>
        </is>
      </c>
      <c r="Q1" s="7" t="inlineStr">
        <is>
          <t>SubmittedDate</t>
        </is>
      </c>
      <c r="R1" s="7" t="inlineStr">
        <is>
          <t>LastEditedBy</t>
        </is>
      </c>
      <c r="S1" s="7" t="inlineStr">
        <is>
          <t>LastEditedDate</t>
        </is>
      </c>
    </row>
    <row r="2">
      <c r="A2" s="8" t="inlineStr">
        <is>
          <t>OS-2025-001</t>
        </is>
      </c>
      <c r="B2" s="8" t="inlineStr">
        <is>
          <t>2025-03-05</t>
        </is>
      </c>
      <c r="C2" s="8" t="inlineStr">
        <is>
          <t>OP-2025-004</t>
        </is>
      </c>
      <c r="D2" s="8" t="inlineStr">
        <is>
          <t>Manchester</t>
        </is>
      </c>
      <c r="E2" s="8" t="inlineStr">
        <is>
          <t>Christiana district</t>
        </is>
      </c>
      <c r="F2" s="8" t="inlineStr">
        <is>
          <t>Cash/Currency</t>
        </is>
      </c>
      <c r="G2" s="8" t="inlineStr">
        <is>
          <t>JMD banknotes in bag</t>
        </is>
      </c>
      <c r="H2" s="8" t="n">
        <v>1</v>
      </c>
      <c r="I2" s="8" t="n">
        <v>850000</v>
      </c>
      <c r="J2" s="8" t="inlineStr">
        <is>
          <t>EXH-OT-001</t>
        </is>
      </c>
      <c r="K2" s="8" t="inlineStr">
        <is>
          <t>FNID Evidence Room</t>
        </is>
      </c>
      <c r="L2" s="8" t="inlineStr">
        <is>
          <t>DC Thompson</t>
        </is>
      </c>
      <c r="M2" s="8" t="inlineStr">
        <is>
          <t>Insp. Brown</t>
        </is>
      </c>
      <c r="N2" s="8" t="inlineStr">
        <is>
          <t>Seized with firearms and drugs</t>
        </is>
      </c>
    </row>
    <row r="3">
      <c r="A3" s="8" t="inlineStr">
        <is>
          <t>OS-2025-002</t>
        </is>
      </c>
      <c r="B3" s="8" t="inlineStr">
        <is>
          <t>2025-03-22</t>
        </is>
      </c>
      <c r="C3" s="8" t="inlineStr">
        <is>
          <t>OP-2025-006</t>
        </is>
      </c>
      <c r="D3" s="8" t="inlineStr">
        <is>
          <t>Clarendon</t>
        </is>
      </c>
      <c r="E3" s="8" t="inlineStr">
        <is>
          <t>Highway 2000</t>
        </is>
      </c>
      <c r="F3" s="8" t="inlineStr">
        <is>
          <t>Cash/Currency</t>
        </is>
      </c>
      <c r="G3" s="8" t="inlineStr">
        <is>
          <t>JMD and USD mixed</t>
        </is>
      </c>
      <c r="H3" s="8" t="n">
        <v>1</v>
      </c>
      <c r="I3" s="8" t="n">
        <v>500000</v>
      </c>
      <c r="J3" s="8" t="inlineStr">
        <is>
          <t>EXH-OT-002</t>
        </is>
      </c>
      <c r="K3" s="8" t="inlineStr">
        <is>
          <t>FNID Evidence Room</t>
        </is>
      </c>
      <c r="L3" s="8" t="inlineStr">
        <is>
          <t>DC Williams</t>
        </is>
      </c>
      <c r="M3" s="8" t="inlineStr">
        <is>
          <t>Cpl. James</t>
        </is>
      </c>
      <c r="N3" s="8" t="inlineStr">
        <is>
          <t>Found in vehicle compartment</t>
        </is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</sheetData>
  <conditionalFormatting sqref="O2:O1000">
    <cfRule type="cellIs" priority="1" operator="equal" dxfId="0">
      <formula>"Draft"</formula>
    </cfRule>
    <cfRule type="cellIs" priority="2" operator="equal" dxfId="1">
      <formula>"Submitted"</formula>
    </cfRule>
    <cfRule type="cellIs" priority="3" operator="equal" dxfId="2">
      <formula>"Edited"</formula>
    </cfRule>
  </conditionalFormatting>
  <dataValidations count="1">
    <dataValidation sqref="O2:O23" showDropDown="0" showInputMessage="0" showErrorMessage="0" allowBlank="1" errorTitle="Invalid" error="Select from dropdown" type="list">
      <formula1>"Draft,Submitted,Edited"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B0F0"/>
    <outlinePr summaryBelow="1" summaryRight="1"/>
    <pageSetUpPr/>
  </sheetPr>
  <dimension ref="B2:L29"/>
  <sheetViews>
    <sheetView showGridLines="0" workbookViewId="0">
      <selection activeCell="A1" sqref="A1"/>
    </sheetView>
  </sheetViews>
  <sheetFormatPr baseColWidth="8" defaultRowHeight="15"/>
  <sheetData>
    <row r="2">
      <c r="B2" s="9" t="inlineStr">
        <is>
          <t>SEIZURES UNIT DASHBOARD - FNID Area 3</t>
        </is>
      </c>
    </row>
    <row r="4">
      <c r="B4" s="10">
        <f>COUNTA(Firearm_Seizures!A2:A26)</f>
        <v/>
      </c>
      <c r="C4" s="11" t="n"/>
      <c r="E4" s="10">
        <f>SUMIF(Narcotics_Seizures!H2:H24,"kg",Narcotics_Seizures!G2:G24)</f>
        <v/>
      </c>
      <c r="F4" s="11" t="n"/>
      <c r="H4" s="10">
        <f>COUNTIF(Firearm_Seizures!N2:N26,"Hit*")</f>
        <v/>
      </c>
      <c r="I4" s="11" t="n"/>
      <c r="K4" s="10">
        <f>COUNTA(Firearm_Seizures!P2:P26)+COUNTA(Narcotics_Seizures!N2:N24)+COUNTA(Other_Seizures!J2:J23)</f>
        <v/>
      </c>
      <c r="L4" s="11" t="n"/>
    </row>
    <row r="5">
      <c r="B5" s="12" t="inlineStr">
        <is>
          <t>Firearms Seized</t>
        </is>
      </c>
      <c r="C5" s="11" t="n"/>
      <c r="E5" s="12" t="inlineStr">
        <is>
          <t>Narcotics (kg)</t>
        </is>
      </c>
      <c r="F5" s="11" t="n"/>
      <c r="H5" s="12" t="inlineStr">
        <is>
          <t>IBIS Hits</t>
        </is>
      </c>
      <c r="I5" s="11" t="n"/>
      <c r="K5" s="12" t="inlineStr">
        <is>
          <t>Total Exhibits</t>
        </is>
      </c>
      <c r="L5" s="11" t="n"/>
    </row>
    <row r="8">
      <c r="B8" s="4" t="inlineStr">
        <is>
          <t>Firearm Type</t>
        </is>
      </c>
      <c r="C8" s="4" t="inlineStr">
        <is>
          <t>Count</t>
        </is>
      </c>
    </row>
    <row r="9">
      <c r="B9" s="5" t="inlineStr">
        <is>
          <t>Pistol - Semi-Auto</t>
        </is>
      </c>
      <c r="C9" s="5">
        <f>COUNTIF(Firearm_Seizures!F2:F26,B9)</f>
        <v/>
      </c>
    </row>
    <row r="10">
      <c r="B10" s="5" t="inlineStr">
        <is>
          <t>Pistol - Revolver</t>
        </is>
      </c>
      <c r="C10" s="5">
        <f>COUNTIF(Firearm_Seizures!F2:F26,B10)</f>
        <v/>
      </c>
    </row>
    <row r="11">
      <c r="B11" s="5" t="inlineStr">
        <is>
          <t>Rifle - Assault</t>
        </is>
      </c>
      <c r="C11" s="5">
        <f>COUNTIF(Firearm_Seizures!F2:F26,B11)</f>
        <v/>
      </c>
    </row>
    <row r="12">
      <c r="B12" s="5" t="inlineStr">
        <is>
          <t>Shotgun</t>
        </is>
      </c>
      <c r="C12" s="5">
        <f>COUNTIF(Firearm_Seizures!F2:F26,B12)</f>
        <v/>
      </c>
    </row>
    <row r="13">
      <c r="B13" s="5" t="inlineStr">
        <is>
          <t>Submachine Gun</t>
        </is>
      </c>
      <c r="C13" s="5">
        <f>COUNTIF(Firearm_Seizures!F2:F26,B13)</f>
        <v/>
      </c>
    </row>
    <row r="14">
      <c r="B14" s="5" t="inlineStr">
        <is>
          <t>Improvised/Homemade</t>
        </is>
      </c>
      <c r="C14" s="5">
        <f>COUNTIF(Firearm_Seizures!F2:F26,B14)</f>
        <v/>
      </c>
    </row>
    <row r="17">
      <c r="B17" s="4" t="inlineStr">
        <is>
          <t>Drug Type</t>
        </is>
      </c>
      <c r="C17" s="4" t="inlineStr">
        <is>
          <t>Count</t>
        </is>
      </c>
    </row>
    <row r="18">
      <c r="B18" s="5" t="inlineStr">
        <is>
          <t>Cannabis/Ganja - Compressed</t>
        </is>
      </c>
      <c r="C18" s="5">
        <f>COUNTIF(Narcotics_Seizures!F2:F24,B18)</f>
        <v/>
      </c>
    </row>
    <row r="19">
      <c r="B19" s="5" t="inlineStr">
        <is>
          <t>Cannabis/Ganja - Loose</t>
        </is>
      </c>
      <c r="C19" s="5">
        <f>COUNTIF(Narcotics_Seizures!F2:F24,B19)</f>
        <v/>
      </c>
    </row>
    <row r="20">
      <c r="B20" s="5" t="inlineStr">
        <is>
          <t>Cocaine - Powder</t>
        </is>
      </c>
      <c r="C20" s="5">
        <f>COUNTIF(Narcotics_Seizures!F2:F24,B20)</f>
        <v/>
      </c>
    </row>
    <row r="21">
      <c r="B21" s="5" t="inlineStr">
        <is>
          <t>Cocaine - Crack</t>
        </is>
      </c>
      <c r="C21" s="5">
        <f>COUNTIF(Narcotics_Seizures!F2:F24,B21)</f>
        <v/>
      </c>
    </row>
    <row r="22">
      <c r="B22" s="5" t="inlineStr">
        <is>
          <t>Heroin</t>
        </is>
      </c>
      <c r="C22" s="5">
        <f>COUNTIF(Narcotics_Seizures!F2:F24,B22)</f>
        <v/>
      </c>
    </row>
    <row r="23">
      <c r="B23" s="5" t="inlineStr">
        <is>
          <t>Other Controlled</t>
        </is>
      </c>
      <c r="C23" s="5">
        <f>COUNTIF(Narcotics_Seizures!F2:F24,B23)</f>
        <v/>
      </c>
    </row>
    <row r="26">
      <c r="B26" s="4" t="inlineStr">
        <is>
          <t>Parish</t>
        </is>
      </c>
      <c r="C26" s="4" t="inlineStr">
        <is>
          <t>Firearms</t>
        </is>
      </c>
      <c r="D26" s="4" t="inlineStr">
        <is>
          <t>Narcotics</t>
        </is>
      </c>
    </row>
    <row r="27">
      <c r="B27" s="5" t="inlineStr">
        <is>
          <t>Manchester</t>
        </is>
      </c>
      <c r="C27" s="5">
        <f>COUNTIF(Firearm_Seizures!D2:D26,B27)</f>
        <v/>
      </c>
      <c r="D27" s="5">
        <f>COUNTIF(Narcotics_Seizures!D2:D24,B27)</f>
        <v/>
      </c>
    </row>
    <row r="28">
      <c r="B28" s="5" t="inlineStr">
        <is>
          <t>St. Elizabeth</t>
        </is>
      </c>
      <c r="C28" s="5">
        <f>COUNTIF(Firearm_Seizures!D2:D26,B28)</f>
        <v/>
      </c>
      <c r="D28" s="5">
        <f>COUNTIF(Narcotics_Seizures!D2:D24,B28)</f>
        <v/>
      </c>
    </row>
    <row r="29">
      <c r="B29" s="5" t="inlineStr">
        <is>
          <t>Clarendon</t>
        </is>
      </c>
      <c r="C29" s="5">
        <f>COUNTIF(Firearm_Seizures!D2:D26,B29)</f>
        <v/>
      </c>
      <c r="D29" s="5">
        <f>COUNTIF(Narcotics_Seizures!D2:D24,B29)</f>
        <v/>
      </c>
    </row>
  </sheetData>
  <mergeCells count="9">
    <mergeCell ref="E4:F4"/>
    <mergeCell ref="B5:C5"/>
    <mergeCell ref="E5:F5"/>
    <mergeCell ref="K5:L5"/>
    <mergeCell ref="H5:I5"/>
    <mergeCell ref="H4:I4"/>
    <mergeCell ref="B2:K2"/>
    <mergeCell ref="K4:L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0B0F0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3" t="inlineStr">
        <is>
          <t>IntelSource</t>
        </is>
      </c>
      <c r="B1" s="13" t="inlineStr">
        <is>
          <t>Priority</t>
        </is>
      </c>
      <c r="C1" s="13" t="inlineStr">
        <is>
          <t>Parish</t>
        </is>
      </c>
      <c r="D1" s="13" t="inlineStr">
        <is>
          <t>YesNo</t>
        </is>
      </c>
      <c r="E1" s="13" t="inlineStr">
        <is>
          <t>RecordStatus</t>
        </is>
      </c>
      <c r="F1" s="13" t="inlineStr">
        <is>
          <t>FirearmType</t>
        </is>
      </c>
      <c r="G1" s="13" t="inlineStr">
        <is>
          <t>Calibre</t>
        </is>
      </c>
      <c r="H1" s="13" t="inlineStr">
        <is>
          <t>DrugType</t>
        </is>
      </c>
      <c r="I1" s="13" t="inlineStr">
        <is>
          <t>DrugUnit</t>
        </is>
      </c>
      <c r="J1" s="13" t="inlineStr">
        <is>
          <t>SeizureLocation</t>
        </is>
      </c>
    </row>
    <row r="2">
      <c r="A2" t="inlineStr">
        <is>
          <t>Crime Stop (311)</t>
        </is>
      </c>
      <c r="B2" t="inlineStr">
        <is>
          <t>Critical</t>
        </is>
      </c>
      <c r="C2" t="inlineStr">
        <is>
          <t>Manchester</t>
        </is>
      </c>
      <c r="D2" t="inlineStr">
        <is>
          <t>Yes</t>
        </is>
      </c>
      <c r="E2" t="inlineStr">
        <is>
          <t>Draft</t>
        </is>
      </c>
      <c r="F2" t="inlineStr">
        <is>
          <t>Pistol - Semi-Auto</t>
        </is>
      </c>
      <c r="G2" t="inlineStr">
        <is>
          <t>9mm</t>
        </is>
      </c>
      <c r="H2" t="inlineStr">
        <is>
          <t>Cannabis/Ganja - Compressed</t>
        </is>
      </c>
      <c r="I2" t="inlineStr">
        <is>
          <t>kg</t>
        </is>
      </c>
      <c r="J2" t="inlineStr">
        <is>
          <t>Port Bustamante</t>
        </is>
      </c>
    </row>
    <row r="3">
      <c r="A3" t="inlineStr">
        <is>
          <t>NIB (811)</t>
        </is>
      </c>
      <c r="B3" t="inlineStr">
        <is>
          <t>High</t>
        </is>
      </c>
      <c r="C3" t="inlineStr">
        <is>
          <t>St. Elizabeth</t>
        </is>
      </c>
      <c r="D3" t="inlineStr">
        <is>
          <t>No</t>
        </is>
      </c>
      <c r="E3" t="inlineStr">
        <is>
          <t>Submitted</t>
        </is>
      </c>
      <c r="F3" t="inlineStr">
        <is>
          <t>Pistol - Revolver</t>
        </is>
      </c>
      <c r="G3" t="inlineStr">
        <is>
          <t>.40 S&amp;W</t>
        </is>
      </c>
      <c r="H3" t="inlineStr">
        <is>
          <t>Cannabis/Ganja - Loose</t>
        </is>
      </c>
      <c r="I3" t="inlineStr">
        <is>
          <t>g</t>
        </is>
      </c>
      <c r="J3" t="inlineStr">
        <is>
          <t>Kingston Logistics Centre</t>
        </is>
      </c>
    </row>
    <row r="4">
      <c r="A4" t="inlineStr">
        <is>
          <t>Informant</t>
        </is>
      </c>
      <c r="B4" t="inlineStr">
        <is>
          <t>Medium</t>
        </is>
      </c>
      <c r="C4" t="inlineStr">
        <is>
          <t>Clarendon</t>
        </is>
      </c>
      <c r="E4" t="inlineStr">
        <is>
          <t>Edited</t>
        </is>
      </c>
      <c r="F4" t="inlineStr">
        <is>
          <t>Rifle - Semi-Auto</t>
        </is>
      </c>
      <c r="G4" t="inlineStr">
        <is>
          <t>.45 ACP</t>
        </is>
      </c>
      <c r="H4" t="inlineStr">
        <is>
          <t>Cannabis/Ganja - Oil/Edibles</t>
        </is>
      </c>
      <c r="I4" t="inlineStr">
        <is>
          <t>lbs</t>
        </is>
      </c>
      <c r="J4" t="inlineStr">
        <is>
          <t>Newport West</t>
        </is>
      </c>
    </row>
    <row r="5">
      <c r="A5" t="inlineStr">
        <is>
          <t>DEA</t>
        </is>
      </c>
      <c r="B5" t="inlineStr">
        <is>
          <t>Low</t>
        </is>
      </c>
      <c r="C5" t="inlineStr">
        <is>
          <t>Kingston</t>
        </is>
      </c>
      <c r="F5" t="inlineStr">
        <is>
          <t>Rifle - Bolt Action</t>
        </is>
      </c>
      <c r="G5" t="inlineStr">
        <is>
          <t>.380 ACP</t>
        </is>
      </c>
      <c r="H5" t="inlineStr">
        <is>
          <t>Cocaine - Powder</t>
        </is>
      </c>
      <c r="I5" t="inlineStr">
        <is>
          <t>oz</t>
        </is>
      </c>
      <c r="J5" t="inlineStr">
        <is>
          <t>Norman Manley Airport</t>
        </is>
      </c>
    </row>
    <row r="6">
      <c r="A6" t="inlineStr">
        <is>
          <t>ATF</t>
        </is>
      </c>
      <c r="C6" t="inlineStr">
        <is>
          <t>St. Andrew</t>
        </is>
      </c>
      <c r="F6" t="inlineStr">
        <is>
          <t>Rifle - Assault</t>
        </is>
      </c>
      <c r="G6" t="inlineStr">
        <is>
          <t>.22 LR</t>
        </is>
      </c>
      <c r="H6" t="inlineStr">
        <is>
          <t>Cocaine - Crack</t>
        </is>
      </c>
      <c r="I6" t="inlineStr">
        <is>
          <t>plants</t>
        </is>
      </c>
      <c r="J6" t="inlineStr">
        <is>
          <t>Sangster International Airport</t>
        </is>
      </c>
    </row>
    <row r="7">
      <c r="A7" t="inlineStr">
        <is>
          <t>HSI</t>
        </is>
      </c>
      <c r="C7" t="inlineStr">
        <is>
          <t>St. Thomas</t>
        </is>
      </c>
      <c r="F7" t="inlineStr">
        <is>
          <t>Shotgun</t>
        </is>
      </c>
      <c r="G7" t="inlineStr">
        <is>
          <t>.25 ACP</t>
        </is>
      </c>
      <c r="H7" t="inlineStr">
        <is>
          <t>Heroin</t>
        </is>
      </c>
      <c r="I7" t="inlineStr">
        <is>
          <t>tablets</t>
        </is>
      </c>
      <c r="J7" t="inlineStr">
        <is>
          <t>Roadway/Vehicle</t>
        </is>
      </c>
    </row>
    <row r="8">
      <c r="A8" t="inlineStr">
        <is>
          <t>MOCA</t>
        </is>
      </c>
      <c r="C8" t="inlineStr">
        <is>
          <t>Portland</t>
        </is>
      </c>
      <c r="F8" t="inlineStr">
        <is>
          <t>Submachine Gun</t>
        </is>
      </c>
      <c r="G8" t="inlineStr">
        <is>
          <t>.38 Special</t>
        </is>
      </c>
      <c r="H8" t="inlineStr">
        <is>
          <t>MDMA/Ecstasy</t>
        </is>
      </c>
      <c r="I8" t="inlineStr">
        <is>
          <t>ml</t>
        </is>
      </c>
      <c r="J8" t="inlineStr">
        <is>
          <t>Residential Premises</t>
        </is>
      </c>
    </row>
    <row r="9">
      <c r="A9" t="inlineStr">
        <is>
          <t>JCA Detection</t>
        </is>
      </c>
      <c r="C9" t="inlineStr">
        <is>
          <t>St. Mary</t>
        </is>
      </c>
      <c r="F9" t="inlineStr">
        <is>
          <t>Machine Pistol</t>
        </is>
      </c>
      <c r="G9" t="inlineStr">
        <is>
          <t>.357 Magnum</t>
        </is>
      </c>
      <c r="H9" t="inlineStr">
        <is>
          <t>Methamphetamine</t>
        </is>
      </c>
      <c r="I9" t="inlineStr">
        <is>
          <t>litres</t>
        </is>
      </c>
      <c r="J9" t="inlineStr">
        <is>
          <t>Commercial Premises</t>
        </is>
      </c>
    </row>
    <row r="10">
      <c r="A10" t="inlineStr">
        <is>
          <t>Divisional CIB</t>
        </is>
      </c>
      <c r="C10" t="inlineStr">
        <is>
          <t>St. Ann</t>
        </is>
      </c>
      <c r="F10" t="inlineStr">
        <is>
          <t>Improvised/Homemade</t>
        </is>
      </c>
      <c r="G10" t="inlineStr">
        <is>
          <t>5.56mm/.223</t>
        </is>
      </c>
      <c r="H10" t="inlineStr">
        <is>
          <t>Synthetic Cannabinoids</t>
        </is>
      </c>
      <c r="J10" t="inlineStr">
        <is>
          <t>Beach/Coastal</t>
        </is>
      </c>
    </row>
    <row r="11">
      <c r="A11" t="inlineStr">
        <is>
          <t>Patrol Intercept</t>
        </is>
      </c>
      <c r="C11" t="inlineStr">
        <is>
          <t>Trelawny</t>
        </is>
      </c>
      <c r="F11" t="inlineStr">
        <is>
          <t>3D-Printed</t>
        </is>
      </c>
      <c r="G11" t="inlineStr">
        <is>
          <t>7.62x39mm</t>
        </is>
      </c>
      <c r="H11" t="inlineStr">
        <is>
          <t>Prescription Opioids</t>
        </is>
      </c>
      <c r="J11" t="inlineStr">
        <is>
          <t>Open Land/Bushes</t>
        </is>
      </c>
    </row>
    <row r="12">
      <c r="A12" t="inlineStr">
        <is>
          <t>C-TOC/SIB</t>
        </is>
      </c>
      <c r="C12" t="inlineStr">
        <is>
          <t>St. James</t>
        </is>
      </c>
      <c r="F12" t="inlineStr">
        <is>
          <t>Imitation/Replica</t>
        </is>
      </c>
      <c r="G12" t="inlineStr">
        <is>
          <t>7.62x51mm/.308</t>
        </is>
      </c>
      <c r="H12" t="inlineStr">
        <is>
          <t>Other Controlled</t>
        </is>
      </c>
      <c r="J12" t="inlineStr">
        <is>
          <t>Courier/Postal Facility</t>
        </is>
      </c>
    </row>
    <row r="13">
      <c r="A13" t="inlineStr">
        <is>
          <t>INTERPOL</t>
        </is>
      </c>
      <c r="C13" t="inlineStr">
        <is>
          <t>Hanover</t>
        </is>
      </c>
      <c r="F13" t="inlineStr">
        <is>
          <t>Component - Frame/Receiver</t>
        </is>
      </c>
      <c r="G13" t="inlineStr">
        <is>
          <t>12 Gauge</t>
        </is>
      </c>
      <c r="J13" t="inlineStr">
        <is>
          <t>ZOSO Checkpoint</t>
        </is>
      </c>
    </row>
    <row r="14">
      <c r="A14" t="inlineStr">
        <is>
          <t>Walk-In Report</t>
        </is>
      </c>
      <c r="C14" t="inlineStr">
        <is>
          <t>Westmoreland</t>
        </is>
      </c>
      <c r="F14" t="inlineStr">
        <is>
          <t>Component - Barrel</t>
        </is>
      </c>
      <c r="G14" t="inlineStr">
        <is>
          <t>20 Gauge</t>
        </is>
      </c>
      <c r="J14" t="inlineStr">
        <is>
          <t>Other</t>
        </is>
      </c>
    </row>
    <row r="15">
      <c r="A15" t="inlineStr">
        <is>
          <t>FNID Direct (923-6184)</t>
        </is>
      </c>
      <c r="C15" t="inlineStr">
        <is>
          <t>St. Catherine</t>
        </is>
      </c>
      <c r="F15" t="inlineStr">
        <is>
          <t>Component - Slide</t>
        </is>
      </c>
      <c r="G15" t="inlineStr">
        <is>
          <t>.44 Magnum</t>
        </is>
      </c>
    </row>
    <row r="16">
      <c r="A16" t="inlineStr">
        <is>
          <t>UK NCA</t>
        </is>
      </c>
      <c r="F16" t="inlineStr">
        <is>
          <t>Magazine</t>
        </is>
      </c>
      <c r="G16" t="inlineStr">
        <is>
          <t>Other</t>
        </is>
      </c>
    </row>
    <row r="17">
      <c r="A17" t="inlineStr">
        <is>
          <t>US Marshals</t>
        </is>
      </c>
      <c r="F17" t="inlineStr">
        <is>
          <t>Silencer/Suppressor</t>
        </is>
      </c>
    </row>
    <row r="18">
      <c r="A18" t="inlineStr">
        <is>
          <t>Anonymous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2026-02-27T06:20:07Z</dcterms:created>
  <dcterms:modified xmlns:dcterms="http://purl.org/dc/terms/" xmlns:xsi="http://www.w3.org/2001/XMLSchema-instance" xsi:type="dcterms:W3CDTF">2026-02-27T06:20:07Z</dcterms:modified>
</cp:coreProperties>
</file>