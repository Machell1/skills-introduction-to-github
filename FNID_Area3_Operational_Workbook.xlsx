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Lookups" sheetId="2" state="visible" r:id="rId2"/>
    <sheet name="OffenceClassMap" sheetId="3" state="visible" r:id="rId3"/>
    <sheet name="ForensicRouting" sheetId="4" state="visible" r:id="rId4"/>
    <sheet name="EvidenceUseMap" sheetId="5" state="visible" r:id="rId5"/>
    <sheet name="tbl_Cases" sheetId="6" state="visible" r:id="rId6"/>
    <sheet name="tbl_Actions" sheetId="7" state="visible" r:id="rId7"/>
    <sheet name="tbl_Reviews" sheetId="8" state="visible" r:id="rId8"/>
    <sheet name="tbl_DiaryEntries" sheetId="9" state="visible" r:id="rId9"/>
    <sheet name="tbl_RadioMessages" sheetId="10" state="visible" r:id="rId10"/>
    <sheet name="tbl_Persons" sheetId="11" state="visible" r:id="rId11"/>
    <sheet name="tbl_MCR_Raw" sheetId="12" state="visible" r:id="rId12"/>
    <sheet name="tbl_Leads" sheetId="13" state="visible" r:id="rId13"/>
    <sheet name="tbl_FollowUpRecs" sheetId="14" state="visible" r:id="rId14"/>
    <sheet name="tbl_IntelBriefings" sheetId="15" state="visible" r:id="rId15"/>
    <sheet name="tbl_Operations" sheetId="16" state="visible" r:id="rId16"/>
    <sheet name="tbl_Exhibits" sheetId="17" state="visible" r:id="rId17"/>
    <sheet name="tbl_Vehicles" sheetId="18" state="visible" r:id="rId18"/>
    <sheet name="tbl_VehicleUsage" sheetId="19" state="visible" r:id="rId19"/>
    <sheet name="tbl_FuelLog" sheetId="20" state="visible" r:id="rId20"/>
    <sheet name="tbl_Maintenance" sheetId="21" state="visible" r:id="rId21"/>
    <sheet name="tbl_Drivers" sheetId="22" state="visible" r:id="rId22"/>
    <sheet name="tbl_DemandReduction" sheetId="23" state="visible" r:id="rId23"/>
    <sheet name="tbl_UnitPlans" sheetId="24" state="visible" r:id="rId24"/>
    <sheet name="Portal_Registry" sheetId="25" state="visible" r:id="rId25"/>
    <sheet name="Portal_Investigations" sheetId="26" state="visible" r:id="rId26"/>
    <sheet name="Portal_Operations" sheetId="27" state="visible" r:id="rId27"/>
    <sheet name="Portal_Intelligence" sheetId="28" state="visible" r:id="rId28"/>
    <sheet name="Portal_Transport" sheetId="29" state="visible" r:id="rId29"/>
    <sheet name="Portal_DemandReduction" sheetId="30" state="visible" r:id="rId30"/>
    <sheet name="Portal_AdminHRM" sheetId="31" state="visible" r:id="rId31"/>
    <sheet name="Portal_Training" sheetId="32" state="visible" r:id="rId32"/>
    <sheet name="Portal_Oversight" sheetId="33" state="visible" r:id="rId33"/>
    <sheet name="Dash_Executive" sheetId="34" state="visible" r:id="rId34"/>
    <sheet name="Statistics_Hub" sheetId="35" state="visible" r:id="rId35"/>
    <sheet name="Dash_FCSI" sheetId="36" state="visible" r:id="rId36"/>
    <sheet name="Dash_Registry" sheetId="37" state="visible" r:id="rId37"/>
    <sheet name="Dash_Investigations" sheetId="38" state="visible" r:id="rId38"/>
    <sheet name="Dash_Operations" sheetId="39" state="visible" r:id="rId39"/>
    <sheet name="Dash_Intelligence" sheetId="40" state="visible" r:id="rId40"/>
    <sheet name="Dash_Transport" sheetId="41" state="visible" r:id="rId41"/>
    <sheet name="Dash_Evidence" sheetId="42" state="visible" r:id="rId42"/>
    <sheet name="Dash_DemandReduction" sheetId="43" state="visible" r:id="rId43"/>
    <sheet name="Dash_Oversight" sheetId="44" state="visible" r:id="rId44"/>
    <sheet name="Form_CR1" sheetId="45" state="visible" r:id="rId45"/>
    <sheet name="Form_CR2" sheetId="46" state="visible" r:id="rId46"/>
    <sheet name="Form_CR5" sheetId="47" state="visible" r:id="rId47"/>
    <sheet name="Form_CaseSummary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2E75B6"/>
      <sz val="12"/>
    </font>
    <font>
      <name val="Calibri"/>
      <i val="1"/>
      <color rgb="00666666"/>
      <sz val="10"/>
    </font>
    <font>
      <name val="Calibri"/>
      <b val="1"/>
      <color rgb="00FFFFFF"/>
      <sz val="12"/>
    </font>
    <font>
      <name val="Calibri"/>
      <b val="1"/>
      <color rgb="002E75B6"/>
      <sz val="10"/>
    </font>
    <font>
      <name val="Calibri"/>
      <color rgb="00333333"/>
      <sz val="10"/>
    </font>
    <font>
      <name val="Calibri"/>
      <i val="1"/>
      <color rgb="0099999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8"/>
    </font>
    <font>
      <name val="Calibri"/>
      <i val="1"/>
      <color rgb="00666666"/>
      <sz val="9"/>
    </font>
    <font>
      <name val="Calibri"/>
      <b val="1"/>
      <color rgb="002E75B6"/>
      <sz val="13"/>
    </font>
    <font>
      <name val="Calibri"/>
      <b val="1"/>
      <sz val="10"/>
    </font>
    <font>
      <name val="Calibri"/>
      <b val="1"/>
      <color rgb="001F3864"/>
      <sz val="14"/>
    </font>
    <font>
      <name val="Calibri"/>
      <b val="1"/>
      <color rgb="00FFFFFF"/>
      <sz val="20"/>
    </font>
    <font>
      <name val="Calibri"/>
      <b val="1"/>
      <color rgb="00FFFFFF"/>
      <sz val="9"/>
    </font>
    <font>
      <name val="Calibri"/>
      <b val="1"/>
      <color rgb="001F3864"/>
      <sz val="16"/>
    </font>
    <font>
      <name val="Calibri"/>
      <b val="1"/>
      <color rgb="00000000"/>
      <sz val="9"/>
    </font>
    <font>
      <name val="Calibri"/>
      <b val="1"/>
      <color rgb="00FFFFFF"/>
      <sz val="13"/>
    </font>
    <font>
      <name val="Calibri"/>
      <b val="1"/>
      <color rgb="00C00000"/>
      <sz val="16"/>
    </font>
    <font>
      <name val="Calibri"/>
      <b val="1"/>
      <color rgb="001F3864"/>
      <sz val="12"/>
    </font>
    <font>
      <name val="Calibri"/>
      <b val="1"/>
      <color rgb="002E75B6"/>
      <sz val="11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02060"/>
      </patternFill>
    </fill>
    <fill>
      <patternFill patternType="solid">
        <fgColor rgb="00C00000"/>
      </patternFill>
    </fill>
    <fill>
      <patternFill patternType="solid">
        <fgColor rgb="00538135"/>
      </patternFill>
    </fill>
    <fill>
      <patternFill patternType="solid">
        <fgColor rgb="00808080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FFC000"/>
      </patternFill>
    </fill>
    <fill>
      <patternFill patternType="solid">
        <fgColor rgb="0000B050"/>
      </patternFill>
    </fill>
    <fill>
      <patternFill patternType="solid">
        <fgColor rgb="00FF0000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bottom style="hair">
        <color rgb="00CCCCCC"/>
      </bottom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indent="2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pivotButton="0" quotePrefix="0" xfId="0"/>
    <xf numFmtId="0" fontId="8" fillId="2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horizontal="left" vertical="center" wrapText="1"/>
    </xf>
    <xf numFmtId="9" fontId="9" fillId="0" borderId="2" pivotButton="0" quotePrefix="0" xfId="0"/>
    <xf numFmtId="0" fontId="10" fillId="7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7" borderId="0" pivotButton="0" quotePrefix="0" xfId="0"/>
    <xf numFmtId="0" fontId="8" fillId="8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applyAlignment="1" pivotButton="0" quotePrefix="0" xfId="0">
      <alignment horizontal="center" vertical="center" wrapText="1"/>
    </xf>
    <xf numFmtId="0" fontId="13" fillId="9" borderId="2" pivotButton="0" quotePrefix="0" xfId="0"/>
    <xf numFmtId="0" fontId="14" fillId="0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13" fillId="0" borderId="2" pivotButton="0" quotePrefix="0" xfId="0"/>
    <xf numFmtId="0" fontId="0" fillId="10" borderId="2" pivotButton="0" quotePrefix="0" xfId="0"/>
    <xf numFmtId="0" fontId="15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6" fillId="11" borderId="2" applyAlignment="1" pivotButton="0" quotePrefix="0" xfId="0">
      <alignment horizontal="center" vertical="center" wrapText="1"/>
    </xf>
    <xf numFmtId="0" fontId="12" fillId="12" borderId="0" pivotButton="0" quotePrefix="0" xfId="0"/>
    <xf numFmtId="0" fontId="18" fillId="1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19" fillId="14" borderId="0" pivotButton="0" quotePrefix="0" xfId="0"/>
    <xf numFmtId="0" fontId="16" fillId="4" borderId="2" applyAlignment="1" pivotButton="0" quotePrefix="0" xfId="0">
      <alignment horizontal="center" vertical="center" wrapText="1"/>
    </xf>
    <xf numFmtId="0" fontId="20" fillId="15" borderId="2" applyAlignment="1" pivotButton="0" quotePrefix="0" xfId="0">
      <alignment horizontal="center" vertical="center" wrapText="1"/>
    </xf>
    <xf numFmtId="9" fontId="9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0" fontId="17" fillId="0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6" fillId="2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9" fillId="0" borderId="3" pivotButton="0" quotePrefix="0" xfId="0"/>
    <xf numFmtId="0" fontId="22" fillId="7" borderId="0" pivotButton="0" quotePrefix="0" xfId="0"/>
    <xf numFmtId="0" fontId="0" fillId="0" borderId="3" pivotButton="0" quotePrefix="0" xfId="0"/>
  </cellXfs>
  <cellStyles count="1">
    <cellStyle name="Normal" xfId="0" builtinId="0" hidden="0"/>
  </cellStyles>
  <dxfs count="3">
    <dxf>
      <fill>
        <patternFill patternType="solid">
          <fgColor rgb="00FF0000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ables/table1.xml><?xml version="1.0" encoding="utf-8"?>
<table xmlns="http://schemas.openxmlformats.org/spreadsheetml/2006/main" id="1" name="tbl_OffenceClassMap" displayName="tbl_OffenceClassMap" ref="A1:E22" headerRowCount="1">
  <autoFilter ref="A1:E22"/>
  <tableColumns count="5">
    <tableColumn id="1" name="OffenceCode"/>
    <tableColumn id="2" name="OffenceDescription"/>
    <tableColumn id="3" name="Category"/>
    <tableColumn id="4" name="FNID_Relevant"/>
    <tableColumn id="5" name="AutoRouteToFN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ForensicRouting" displayName="tbl_ForensicRouting" ref="A1:E13" headerRowCount="1">
  <autoFilter ref="A1:E13"/>
  <tableColumns count="5">
    <tableColumn id="1" name="EvidenceType"/>
    <tableColumn id="2" name="RecommendedForensicAgency"/>
    <tableColumn id="3" name="TestType"/>
    <tableColumn id="4" name="ExpectedTurnaround_Days"/>
    <tableColumn id="5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EvidenceUseMap" displayName="tbl_EvidenceUseMap" ref="A1:E12" headerRowCount="1">
  <autoFilter ref="A1:E12"/>
  <tableColumns count="5">
    <tableColumn id="1" name="EvidenceType"/>
    <tableColumn id="2" name="EvidentialUse"/>
    <tableColumn id="3" name="CaseElement_Supported"/>
    <tableColumn id="4" name="LegalRequirement"/>
    <tableColumn id="5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Cases" displayName="tbl_Cases" ref="A1:AH6" headerRowCount="1">
  <autoFilter ref="A1:AH6"/>
  <tableColumns count="34">
    <tableColumn id="1" name="CaseID"/>
    <tableColumn id="2" name="CR1_Number"/>
    <tableColumn id="3" name="CR2_Number"/>
    <tableColumn id="4" name="CR5_Number"/>
    <tableColumn id="5" name="DateReceived"/>
    <tableColumn id="6" name="OffenceType"/>
    <tableColumn id="7" name="OffenceDescription"/>
    <tableColumn id="8" name="Parish"/>
    <tableColumn id="9" name="Station"/>
    <tableColumn id="10" name="Complainant"/>
    <tableColumn id="11" name="Suspect"/>
    <tableColumn id="12" name="InvestigatorAssigned"/>
    <tableColumn id="13" name="Unit"/>
    <tableColumn id="14" name="Priority"/>
    <tableColumn id="15" name="CaseStatus"/>
    <tableColumn id="16" name="SupervisorReview"/>
    <tableColumn id="17" name="ReviewDate"/>
    <tableColumn id="18" name="NextActionDue"/>
    <tableColumn id="19" name="ComplianceFlag"/>
    <tableColumn id="20" name="CR1_Compliant"/>
    <tableColumn id="21" name="CR2_Compliant"/>
    <tableColumn id="22" name="CR5_Compliant"/>
    <tableColumn id="23" name="FCSI_Flag"/>
    <tableColumn id="24" name="LinkedLeadID"/>
    <tableColumn id="25" name="LinkedOpsID"/>
    <tableColumn id="26" name="Notes"/>
    <tableColumn id="27" name="CreatedBy"/>
    <tableColumn id="28" name="CreatedDate"/>
    <tableColumn id="29" name="LastUpdatedBy"/>
    <tableColumn id="30" name="LastUpdatedDate"/>
    <tableColumn id="31" name="Week"/>
    <tableColumn id="32" name="Month"/>
    <tableColumn id="33" name="Quarter"/>
    <tableColumn id="34" name="Yea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Actions" displayName="tbl_Actions" ref="A1:T6" headerRowCount="1">
  <autoFilter ref="A1:T6"/>
  <tableColumns count="20">
    <tableColumn id="1" name="ActionID"/>
    <tableColumn id="2" name="CaseID"/>
    <tableColumn id="3" name="ActionType"/>
    <tableColumn id="4" name="Description"/>
    <tableColumn id="5" name="AssignedTo"/>
    <tableColumn id="6" name="Unit"/>
    <tableColumn id="7" name="DueDate"/>
    <tableColumn id="8" name="CompletedDate"/>
    <tableColumn id="9" name="Status"/>
    <tableColumn id="10" name="Priority"/>
    <tableColumn id="11" name="Outcome"/>
    <tableColumn id="12" name="Notes"/>
    <tableColumn id="13" name="CreatedBy"/>
    <tableColumn id="14" name="CreatedDate"/>
    <tableColumn id="15" name="LastUpdatedBy"/>
    <tableColumn id="16" name="LastUpdatedDate"/>
    <tableColumn id="17" name="Week"/>
    <tableColumn id="18" name="Month"/>
    <tableColumn id="19" name="Quarter"/>
    <tableColumn id="20" name="Yea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Reviews" displayName="tbl_Reviews" ref="A1:N6" headerRowCount="1">
  <autoFilter ref="A1:N6"/>
  <tableColumns count="14">
    <tableColumn id="1" name="ReviewID"/>
    <tableColumn id="2" name="CaseID"/>
    <tableColumn id="3" name="ReviewType"/>
    <tableColumn id="4" name="Reviewer"/>
    <tableColumn id="5" name="ReviewDate"/>
    <tableColumn id="6" name="DueDate"/>
    <tableColumn id="7" name="Findings"/>
    <tableColumn id="8" name="Recommendations"/>
    <tableColumn id="9" name="Status"/>
    <tableColumn id="10" name="ComplianceStatus"/>
    <tableColumn id="11" name="CreatedBy"/>
    <tableColumn id="12" name="CreatedDate"/>
    <tableColumn id="13" name="LastUpdatedBy"/>
    <tableColumn id="14" name="LastUpdatedDat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DiaryEntries" displayName="tbl_DiaryEntries" ref="A1:M6" headerRowCount="1">
  <autoFilter ref="A1:M6"/>
  <tableColumns count="13">
    <tableColumn id="1" name="DiaryID"/>
    <tableColumn id="2" name="CaseID"/>
    <tableColumn id="3" name="EntryDate"/>
    <tableColumn id="4" name="EntryTime"/>
    <tableColumn id="5" name="EnteredBy"/>
    <tableColumn id="6" name="Unit"/>
    <tableColumn id="7" name="DiaryNarrative"/>
    <tableColumn id="8" name="ActionTaken"/>
    <tableColumn id="9" name="NextSteps"/>
    <tableColumn id="10" name="CreatedBy"/>
    <tableColumn id="11" name="CreatedDate"/>
    <tableColumn id="12" name="LastUpdatedBy"/>
    <tableColumn id="13" name="LastUpdatedDat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RadioMessages" displayName="tbl_RadioMessages" ref="A1:M6" headerRowCount="1">
  <autoFilter ref="A1:M6"/>
  <tableColumns count="13">
    <tableColumn id="1" name="MessageID"/>
    <tableColumn id="2" name="Date"/>
    <tableColumn id="3" name="Time"/>
    <tableColumn id="4" name="From"/>
    <tableColumn id="5" name="To"/>
    <tableColumn id="6" name="Priority"/>
    <tableColumn id="7" name="Subject"/>
    <tableColumn id="8" name="MessageBody"/>
    <tableColumn id="9" name="ActionRequired"/>
    <tableColumn id="10" name="LinkedCaseID"/>
    <tableColumn id="11" name="LinkedLeadID"/>
    <tableColumn id="12" name="CreatedBy"/>
    <tableColumn id="13" name="CreatedD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bl_Persons" displayName="tbl_Persons" ref="A1:T6" headerRowCount="1">
  <autoFilter ref="A1:T6"/>
  <tableColumns count="20">
    <tableColumn id="1" name="PersonID"/>
    <tableColumn id="2" name="FullName"/>
    <tableColumn id="3" name="Alias"/>
    <tableColumn id="4" name="DOB"/>
    <tableColumn id="5" name="Gender"/>
    <tableColumn id="6" name="Address"/>
    <tableColumn id="7" name="Parish"/>
    <tableColumn id="8" name="Phone"/>
    <tableColumn id="9" name="ID_Type"/>
    <tableColumn id="10" name="ID_Number"/>
    <tableColumn id="11" name="Role"/>
    <tableColumn id="12" name="LinkedCaseID"/>
    <tableColumn id="13" name="LinkedLeadID"/>
    <tableColumn id="14" name="RiskLevel"/>
    <tableColumn id="15" name="Notes"/>
    <tableColumn id="16" name="PhotoRef"/>
    <tableColumn id="17" name="CreatedBy"/>
    <tableColumn id="18" name="CreatedDate"/>
    <tableColumn id="19" name="LastUpdatedBy"/>
    <tableColumn id="20" name="LastUpdatedDat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bl_MCR_Raw" displayName="tbl_MCR_Raw" ref="A1:V6" headerRowCount="1">
  <autoFilter ref="A1:V6"/>
  <tableColumns count="22">
    <tableColumn id="1" name="MCR_ID"/>
    <tableColumn id="2" name="MCR_Date"/>
    <tableColumn id="3" name="ReportingStation"/>
    <tableColumn id="4" name="Parish"/>
    <tableColumn id="5" name="OffenceCode"/>
    <tableColumn id="6" name="OffenceDescription"/>
    <tableColumn id="7" name="Complainant"/>
    <tableColumn id="8" name="Location"/>
    <tableColumn id="9" name="Suspect"/>
    <tableColumn id="10" name="Summary"/>
    <tableColumn id="11" name="FNID_Relevant"/>
    <tableColumn id="12" name="AutoRouted"/>
    <tableColumn id="13" name="RoutedDate"/>
    <tableColumn id="14" name="TriageStatus"/>
    <tableColumn id="15" name="LinkedLeadID"/>
    <tableColumn id="16" name="Notes"/>
    <tableColumn id="17" name="CreatedBy"/>
    <tableColumn id="18" name="CreatedDate"/>
    <tableColumn id="19" name="Week"/>
    <tableColumn id="20" name="Month"/>
    <tableColumn id="21" name="Quarter"/>
    <tableColumn id="22" name="Year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bl_Leads" displayName="tbl_Leads" ref="A1:AE6" headerRowCount="1">
  <autoFilter ref="A1:AE6"/>
  <tableColumns count="31">
    <tableColumn id="1" name="LeadID"/>
    <tableColumn id="2" name="DateReceived"/>
    <tableColumn id="3" name="Source"/>
    <tableColumn id="4" name="SourceDetail"/>
    <tableColumn id="5" name="Parish"/>
    <tableColumn id="6" name="Station"/>
    <tableColumn id="7" name="Subject"/>
    <tableColumn id="8" name="Summary"/>
    <tableColumn id="9" name="Credibility"/>
    <tableColumn id="10" name="Priority"/>
    <tableColumn id="11" name="RiskScore"/>
    <tableColumn id="12" name="TriageDecision"/>
    <tableColumn id="13" name="TriageDate"/>
    <tableColumn id="14" name="AssignedTo"/>
    <tableColumn id="15" name="Unit"/>
    <tableColumn id="16" name="Outcome"/>
    <tableColumn id="17" name="OutcomeDate"/>
    <tableColumn id="18" name="ConvertedToCaseID"/>
    <tableColumn id="19" name="ConvertedToOpsID"/>
    <tableColumn id="20" name="FollowUpRequired"/>
    <tableColumn id="21" name="FollowUpDueDate"/>
    <tableColumn id="22" name="FCSI_Flag"/>
    <tableColumn id="23" name="Notes"/>
    <tableColumn id="24" name="CreatedBy"/>
    <tableColumn id="25" name="CreatedDate"/>
    <tableColumn id="26" name="LastUpdatedBy"/>
    <tableColumn id="27" name="LastUpdatedDate"/>
    <tableColumn id="28" name="Week"/>
    <tableColumn id="29" name="Month"/>
    <tableColumn id="30" name="Quarter"/>
    <tableColumn id="31" name="Year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bl_FollowUpRecs" displayName="tbl_FollowUpRecs" ref="A1:O6" headerRowCount="1">
  <autoFilter ref="A1:O6"/>
  <tableColumns count="15">
    <tableColumn id="1" name="RecID"/>
    <tableColumn id="2" name="LeadID"/>
    <tableColumn id="3" name="RecommendedBy"/>
    <tableColumn id="4" name="RecommendationDate"/>
    <tableColumn id="5" name="Recommendation"/>
    <tableColumn id="6" name="Priority"/>
    <tableColumn id="7" name="AssignedTo"/>
    <tableColumn id="8" name="DueDate"/>
    <tableColumn id="9" name="Status"/>
    <tableColumn id="10" name="Outcome"/>
    <tableColumn id="11" name="Notes"/>
    <tableColumn id="12" name="CreatedBy"/>
    <tableColumn id="13" name="CreatedDate"/>
    <tableColumn id="14" name="LastUpdatedBy"/>
    <tableColumn id="15" name="LastUpdatedDate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tbl_IntelBriefings" displayName="tbl_IntelBriefings" ref="A1:P6" headerRowCount="1">
  <autoFilter ref="A1:P6"/>
  <tableColumns count="16">
    <tableColumn id="1" name="BriefingID"/>
    <tableColumn id="2" name="BriefingDate"/>
    <tableColumn id="3" name="BriefingTime"/>
    <tableColumn id="4" name="Presenter"/>
    <tableColumn id="5" name="Audience"/>
    <tableColumn id="6" name="Topic"/>
    <tableColumn id="7" name="KeyFindings"/>
    <tableColumn id="8" name="ActionItems"/>
    <tableColumn id="9" name="LinkedLeadIDs"/>
    <tableColumn id="10" name="LinkedCaseIDs"/>
    <tableColumn id="11" name="AttendeeCount"/>
    <tableColumn id="12" name="Notes"/>
    <tableColumn id="13" name="CreatedBy"/>
    <tableColumn id="14" name="CreatedDate"/>
    <tableColumn id="15" name="LastUpdatedBy"/>
    <tableColumn id="16" name="LastUpdatedDate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tbl_Operations" displayName="tbl_Operations" ref="A1:AK6" headerRowCount="1">
  <autoFilter ref="A1:AK6"/>
  <tableColumns count="37">
    <tableColumn id="1" name="OPS_ID"/>
    <tableColumn id="2" name="OpsDate"/>
    <tableColumn id="3" name="OpsType"/>
    <tableColumn id="4" name="OpsName"/>
    <tableColumn id="5" name="Parish"/>
    <tableColumn id="6" name="Station"/>
    <tableColumn id="7" name="Location"/>
    <tableColumn id="8" name="TeamLead"/>
    <tableColumn id="9" name="TeamSize"/>
    <tableColumn id="10" name="Unit"/>
    <tableColumn id="11" name="FCSI_Flag"/>
    <tableColumn id="12" name="FCSI_Hotspot"/>
    <tableColumn id="13" name="WarrantNumber"/>
    <tableColumn id="14" name="TargetDescription"/>
    <tableColumn id="15" name="Searches"/>
    <tableColumn id="16" name="Arrests"/>
    <tableColumn id="17" name="FirearmsSeized"/>
    <tableColumn id="18" name="AmmunitionSeized"/>
    <tableColumn id="19" name="NarcoticsSeized_kg"/>
    <tableColumn id="20" name="CashSeized"/>
    <tableColumn id="21" name="OtherSeizures"/>
    <tableColumn id="22" name="IntelGained"/>
    <tableColumn id="23" name="LinkedLeadID"/>
    <tableColumn id="24" name="LinkedCaseID"/>
    <tableColumn id="25" name="Outcome"/>
    <tableColumn id="26" name="OutcomeNotes"/>
    <tableColumn id="27" name="StartTime"/>
    <tableColumn id="28" name="EndTime"/>
    <tableColumn id="29" name="Notes"/>
    <tableColumn id="30" name="CreatedBy"/>
    <tableColumn id="31" name="CreatedDate"/>
    <tableColumn id="32" name="LastUpdatedBy"/>
    <tableColumn id="33" name="LastUpdatedDate"/>
    <tableColumn id="34" name="Week"/>
    <tableColumn id="35" name="Month"/>
    <tableColumn id="36" name="Quarter"/>
    <tableColumn id="37" name="Year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tbl_Exhibits" displayName="tbl_Exhibits" ref="A1:AI6" headerRowCount="1">
  <autoFilter ref="A1:AI6"/>
  <tableColumns count="35">
    <tableColumn id="1" name="ExhibitID"/>
    <tableColumn id="2" name="LinkedCaseID"/>
    <tableColumn id="3" name="LinkedOpsID"/>
    <tableColumn id="4" name="DateCollected"/>
    <tableColumn id="5" name="CollectedBy"/>
    <tableColumn id="6" name="EvidenceType"/>
    <tableColumn id="7" name="Description"/>
    <tableColumn id="8" name="Quantity"/>
    <tableColumn id="9" name="Unit_Measure"/>
    <tableColumn id="10" name="StorageLocation"/>
    <tableColumn id="11" name="ChainOfCustody_Log"/>
    <tableColumn id="12" name="CurrentCustodian"/>
    <tableColumn id="13" name="ForensicAgency"/>
    <tableColumn id="14" name="ForensicTestType"/>
    <tableColumn id="15" name="SubmissionDate"/>
    <tableColumn id="16" name="ExpectedReturn"/>
    <tableColumn id="17" name="ActualReturnDate"/>
    <tableColumn id="18" name="AnalysisStatus"/>
    <tableColumn id="19" name="ForensicResult"/>
    <tableColumn id="20" name="TurnaroundDays"/>
    <tableColumn id="21" name="EvidentialUse"/>
    <tableColumn id="22" name="CaseElementSupported"/>
    <tableColumn id="23" name="CourtReadiness"/>
    <tableColumn id="24" name="CourtDate"/>
    <tableColumn id="25" name="DisposalDate"/>
    <tableColumn id="26" name="DisposalMethod"/>
    <tableColumn id="27" name="Notes"/>
    <tableColumn id="28" name="CreatedBy"/>
    <tableColumn id="29" name="CreatedDate"/>
    <tableColumn id="30" name="LastUpdatedBy"/>
    <tableColumn id="31" name="LastUpdatedDate"/>
    <tableColumn id="32" name="Week"/>
    <tableColumn id="33" name="Month"/>
    <tableColumn id="34" name="Quarter"/>
    <tableColumn id="35" name="Year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bl_Vehicles" displayName="tbl_Vehicles" ref="A1:U6" headerRowCount="1">
  <autoFilter ref="A1:U6"/>
  <tableColumns count="21">
    <tableColumn id="1" name="VehicleID"/>
    <tableColumn id="2" name="RegistrationNo"/>
    <tableColumn id="3" name="Make"/>
    <tableColumn id="4" name="Model"/>
    <tableColumn id="5" name="Year"/>
    <tableColumn id="6" name="VehicleType"/>
    <tableColumn id="7" name="AssignedUnit"/>
    <tableColumn id="8" name="AssignedStation"/>
    <tableColumn id="9" name="CurrentStatus"/>
    <tableColumn id="10" name="Mileage"/>
    <tableColumn id="11" name="LastServiceDate"/>
    <tableColumn id="12" name="NextServiceDue"/>
    <tableColumn id="13" name="InsuranceExpiry"/>
    <tableColumn id="14" name="FitnessExpiry"/>
    <tableColumn id="15" name="FuelType"/>
    <tableColumn id="16" name="TankCapacity_L"/>
    <tableColumn id="17" name="Notes"/>
    <tableColumn id="18" name="CreatedBy"/>
    <tableColumn id="19" name="CreatedDate"/>
    <tableColumn id="20" name="LastUpdatedBy"/>
    <tableColumn id="21" name="LastUpdatedDat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bl_VehicleUsage" displayName="tbl_VehicleUsage" ref="A1:U6" headerRowCount="1">
  <autoFilter ref="A1:U6"/>
  <tableColumns count="21">
    <tableColumn id="1" name="UsageID"/>
    <tableColumn id="2" name="VehicleID"/>
    <tableColumn id="3" name="Date"/>
    <tableColumn id="4" name="Driver"/>
    <tableColumn id="5" name="Purpose"/>
    <tableColumn id="6" name="LinkedOpsID"/>
    <tableColumn id="7" name="LinkedCaseID"/>
    <tableColumn id="8" name="DepartureTime"/>
    <tableColumn id="9" name="ReturnTime"/>
    <tableColumn id="10" name="StartMileage"/>
    <tableColumn id="11" name="EndMileage"/>
    <tableColumn id="12" name="DistanceKm"/>
    <tableColumn id="13" name="Unit"/>
    <tableColumn id="14" name="Parish"/>
    <tableColumn id="15" name="Notes"/>
    <tableColumn id="16" name="CreatedBy"/>
    <tableColumn id="17" name="CreatedDate"/>
    <tableColumn id="18" name="Week"/>
    <tableColumn id="19" name="Month"/>
    <tableColumn id="20" name="Quarter"/>
    <tableColumn id="21" name="Year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bl_FuelLog" displayName="tbl_FuelLog" ref="A1:Q6" headerRowCount="1">
  <autoFilter ref="A1:Q6"/>
  <tableColumns count="17">
    <tableColumn id="1" name="FuelID"/>
    <tableColumn id="2" name="VehicleID"/>
    <tableColumn id="3" name="Date"/>
    <tableColumn id="4" name="Driver"/>
    <tableColumn id="5" name="FuelType"/>
    <tableColumn id="6" name="Litres"/>
    <tableColumn id="7" name="Cost"/>
    <tableColumn id="8" name="Mileage_AtFill"/>
    <tableColumn id="9" name="Station"/>
    <tableColumn id="10" name="ReceiptNo"/>
    <tableColumn id="11" name="Notes"/>
    <tableColumn id="12" name="CreatedBy"/>
    <tableColumn id="13" name="CreatedDate"/>
    <tableColumn id="14" name="Week"/>
    <tableColumn id="15" name="Month"/>
    <tableColumn id="16" name="Quarter"/>
    <tableColumn id="17" name="Year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9" name="tbl_Maintenance" displayName="tbl_Maintenance" ref="A1:Q6" headerRowCount="1">
  <autoFilter ref="A1:Q6"/>
  <tableColumns count="17">
    <tableColumn id="1" name="MaintID"/>
    <tableColumn id="2" name="VehicleID"/>
    <tableColumn id="3" name="MaintenanceType"/>
    <tableColumn id="4" name="Description"/>
    <tableColumn id="5" name="ServiceProvider"/>
    <tableColumn id="6" name="DateIn"/>
    <tableColumn id="7" name="DateOut"/>
    <tableColumn id="8" name="Cost"/>
    <tableColumn id="9" name="Mileage"/>
    <tableColumn id="10" name="PartsReplaced"/>
    <tableColumn id="11" name="NextServiceDue"/>
    <tableColumn id="12" name="DowntimeDay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tbl_Drivers" displayName="tbl_Drivers" ref="A1:Q6" headerRowCount="1">
  <autoFilter ref="A1:Q6"/>
  <tableColumns count="17">
    <tableColumn id="1" name="DriverID"/>
    <tableColumn id="2" name="FullName"/>
    <tableColumn id="3" name="Rank"/>
    <tableColumn id="4" name="BadgeNo"/>
    <tableColumn id="5" name="Unit"/>
    <tableColumn id="6" name="Station"/>
    <tableColumn id="7" name="LicenseNo"/>
    <tableColumn id="8" name="LicenseExpiry"/>
    <tableColumn id="9" name="LicenseClass"/>
    <tableColumn id="10" name="DefensiveDrivingCert"/>
    <tableColumn id="11" name="CertExpiry"/>
    <tableColumn id="12" name="Statu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tbl_DemandReduction" displayName="tbl_DemandReduction" ref="A1:AA6" headerRowCount="1">
  <autoFilter ref="A1:AA6"/>
  <tableColumns count="27">
    <tableColumn id="1" name="LectureID"/>
    <tableColumn id="2" name="Date"/>
    <tableColumn id="3" name="Location"/>
    <tableColumn id="4" name="Parish"/>
    <tableColumn id="5" name="Community"/>
    <tableColumn id="6" name="Venue"/>
    <tableColumn id="7" name="Topic"/>
    <tableColumn id="8" name="Presenter"/>
    <tableColumn id="9" name="TargetAudience"/>
    <tableColumn id="10" name="Attendance"/>
    <tableColumn id="11" name="Duration_Hrs"/>
    <tableColumn id="12" name="MaterialsUsed"/>
    <tableColumn id="13" name="PartnerOrganizations"/>
    <tableColumn id="14" name="Outcome"/>
    <tableColumn id="15" name="Feedback"/>
    <tableColumn id="16" name="FollowUpPlanned"/>
    <tableColumn id="17" name="FollowUpDate"/>
    <tableColumn id="18" name="Photos_YN"/>
    <tableColumn id="19" name="Notes"/>
    <tableColumn id="20" name="CreatedBy"/>
    <tableColumn id="21" name="CreatedDate"/>
    <tableColumn id="22" name="LastUpdatedBy"/>
    <tableColumn id="23" name="LastUpdatedDate"/>
    <tableColumn id="24" name="Week"/>
    <tableColumn id="25" name="Month"/>
    <tableColumn id="26" name="Quarter"/>
    <tableColumn id="27" name="Year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id="22" name="tbl_UnitPlans" displayName="tbl_UnitPlans" ref="A1:AC33" headerRowCount="1">
  <autoFilter ref="A1:AC33"/>
  <tableColumns count="29">
    <tableColumn id="1" name="PlanID"/>
    <tableColumn id="2" name="Unit"/>
    <tableColumn id="3" name="StrategicObjective"/>
    <tableColumn id="4" name="KPI_Name"/>
    <tableColumn id="5" name="KPI_Description"/>
    <tableColumn id="6" name="Frequency"/>
    <tableColumn id="7" name="Target_Daily"/>
    <tableColumn id="8" name="Target_Monthly"/>
    <tableColumn id="9" name="Target_Quarterly"/>
    <tableColumn id="10" name="Target_Annual"/>
    <tableColumn id="11" name="Actual_MTD"/>
    <tableColumn id="12" name="Actual_QTD"/>
    <tableColumn id="13" name="Actual_YTD"/>
    <tableColumn id="14" name="Variance_Monthly"/>
    <tableColumn id="15" name="Variance_Quarterly"/>
    <tableColumn id="16" name="Variance_Annual"/>
    <tableColumn id="17" name="Achievement_Pct_Monthly"/>
    <tableColumn id="18" name="Achievement_Pct_Quarterly"/>
    <tableColumn id="19" name="Achievement_Pct_Annual"/>
    <tableColumn id="20" name="TrafficLight_Monthly"/>
    <tableColumn id="21" name="TrafficLight_Quarterly"/>
    <tableColumn id="22" name="TrafficLight_Annual"/>
    <tableColumn id="23" name="DataSource"/>
    <tableColumn id="24" name="Formula_Reference"/>
    <tableColumn id="25" name="Notes"/>
    <tableColumn id="26" name="CreatedBy"/>
    <tableColumn id="27" name="CreatedDate"/>
    <tableColumn id="28" name="LastUpdatedBy"/>
    <tableColumn id="29" name="LastUpdatedDa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56" customHeight="1">
      <c r="A1" s="1" t="inlineStr">
        <is>
          <t>FNID AREA 3 — INTEGRATED OPERATIONAL WORKBOOK</t>
        </is>
      </c>
    </row>
    <row r="2">
      <c r="A2" s="2" t="inlineStr">
        <is>
          <t>Firearm and Narcotics Investigation Division | Area 3 | Jamaica Constabulary Force</t>
        </is>
      </c>
    </row>
    <row r="3">
      <c r="A3" s="3" t="inlineStr">
        <is>
          <t>Operational Management System — Intelligence | Cases | Operations | Evidence | Transport | Demand Reduction | Performance</t>
        </is>
      </c>
    </row>
    <row r="5" ht="26" customHeight="1">
      <c r="A5" s="4" t="inlineStr">
        <is>
          <t>UNIT PORTALS</t>
        </is>
      </c>
    </row>
    <row r="6">
      <c r="A6" s="5" t="inlineStr">
        <is>
          <t xml:space="preserve">  &gt;&gt; Portal_Registry</t>
        </is>
      </c>
      <c r="B6" s="6" t="inlineStr">
        <is>
          <t>Registry — Case Registration &amp; CR Tracking</t>
        </is>
      </c>
      <c r="C6" s="7" t="n"/>
      <c r="D6" s="7" t="n"/>
      <c r="E6" s="7" t="n"/>
      <c r="F6" s="7" t="n"/>
      <c r="G6" s="7" t="n"/>
      <c r="H6" s="7" t="n"/>
    </row>
    <row r="7">
      <c r="A7" s="5" t="inlineStr">
        <is>
          <t xml:space="preserve">  &gt;&gt; Portal_Investigations</t>
        </is>
      </c>
      <c r="B7" s="6" t="inlineStr">
        <is>
          <t>Investigations — Case Progress &amp; Reviews</t>
        </is>
      </c>
      <c r="C7" s="7" t="n"/>
      <c r="D7" s="7" t="n"/>
      <c r="E7" s="7" t="n"/>
      <c r="F7" s="7" t="n"/>
      <c r="G7" s="7" t="n"/>
      <c r="H7" s="7" t="n"/>
    </row>
    <row r="8">
      <c r="A8" s="5" t="inlineStr">
        <is>
          <t xml:space="preserve">  &gt;&gt; Portal_Operations</t>
        </is>
      </c>
      <c r="B8" s="6" t="inlineStr">
        <is>
          <t>Operations — Ops Activity &amp; FCSI Tracking</t>
        </is>
      </c>
      <c r="C8" s="7" t="n"/>
      <c r="D8" s="7" t="n"/>
      <c r="E8" s="7" t="n"/>
      <c r="F8" s="7" t="n"/>
      <c r="G8" s="7" t="n"/>
      <c r="H8" s="7" t="n"/>
    </row>
    <row r="9">
      <c r="A9" s="5" t="inlineStr">
        <is>
          <t xml:space="preserve">  &gt;&gt; Portal_Intelligence</t>
        </is>
      </c>
      <c r="B9" s="6" t="inlineStr">
        <is>
          <t>Intelligence — Lead Management &amp; Briefings</t>
        </is>
      </c>
      <c r="C9" s="7" t="n"/>
      <c r="D9" s="7" t="n"/>
      <c r="E9" s="7" t="n"/>
      <c r="F9" s="7" t="n"/>
      <c r="G9" s="7" t="n"/>
      <c r="H9" s="7" t="n"/>
    </row>
    <row r="10">
      <c r="A10" s="5" t="inlineStr">
        <is>
          <t xml:space="preserve">  &gt;&gt; Portal_Transport</t>
        </is>
      </c>
      <c r="B10" s="6" t="inlineStr">
        <is>
          <t>Transport — Fleet, Usage, Fuel &amp; Maintenance</t>
        </is>
      </c>
      <c r="C10" s="7" t="n"/>
      <c r="D10" s="7" t="n"/>
      <c r="E10" s="7" t="n"/>
      <c r="F10" s="7" t="n"/>
      <c r="G10" s="7" t="n"/>
      <c r="H10" s="7" t="n"/>
    </row>
    <row r="11">
      <c r="A11" s="5" t="inlineStr">
        <is>
          <t xml:space="preserve">  &gt;&gt; Portal_DemandReduction</t>
        </is>
      </c>
      <c r="B11" s="6" t="inlineStr">
        <is>
          <t>Demand Reduction — Community Outreach</t>
        </is>
      </c>
      <c r="C11" s="7" t="n"/>
      <c r="D11" s="7" t="n"/>
      <c r="E11" s="7" t="n"/>
      <c r="F11" s="7" t="n"/>
      <c r="G11" s="7" t="n"/>
      <c r="H11" s="7" t="n"/>
    </row>
    <row r="12">
      <c r="A12" s="5" t="inlineStr">
        <is>
          <t xml:space="preserve">  &gt;&gt; Portal_AdminHRM</t>
        </is>
      </c>
      <c r="B12" s="6" t="inlineStr">
        <is>
          <t>Admin/HRM — Personnel &amp; Administration</t>
        </is>
      </c>
      <c r="C12" s="7" t="n"/>
      <c r="D12" s="7" t="n"/>
      <c r="E12" s="7" t="n"/>
      <c r="F12" s="7" t="n"/>
      <c r="G12" s="7" t="n"/>
      <c r="H12" s="7" t="n"/>
    </row>
    <row r="13">
      <c r="A13" s="5" t="inlineStr">
        <is>
          <t xml:space="preserve">  &gt;&gt; Portal_Training</t>
        </is>
      </c>
      <c r="B13" s="6" t="inlineStr">
        <is>
          <t>Training — Capacity Building &amp; Certifications</t>
        </is>
      </c>
      <c r="C13" s="7" t="n"/>
      <c r="D13" s="7" t="n"/>
      <c r="E13" s="7" t="n"/>
      <c r="F13" s="7" t="n"/>
      <c r="G13" s="7" t="n"/>
      <c r="H13" s="7" t="n"/>
    </row>
    <row r="14">
      <c r="A14" s="5" t="inlineStr">
        <is>
          <t xml:space="preserve">  &gt;&gt; Portal_Oversight</t>
        </is>
      </c>
      <c r="B14" s="6" t="inlineStr">
        <is>
          <t>Oversight — Compliance &amp; Governance</t>
        </is>
      </c>
      <c r="C14" s="7" t="n"/>
      <c r="D14" s="7" t="n"/>
      <c r="E14" s="7" t="n"/>
      <c r="F14" s="7" t="n"/>
      <c r="G14" s="7" t="n"/>
      <c r="H14" s="7" t="n"/>
    </row>
    <row r="16" ht="26" customHeight="1">
      <c r="A16" s="8" t="inlineStr">
        <is>
          <t>DASHBOARDS</t>
        </is>
      </c>
    </row>
    <row r="17">
      <c r="A17" s="5" t="inlineStr">
        <is>
          <t xml:space="preserve">  &gt;&gt; Dash_Executive</t>
        </is>
      </c>
      <c r="B17" s="6" t="inlineStr">
        <is>
          <t>Executive Dashboard — Full Operational Picture</t>
        </is>
      </c>
      <c r="C17" s="7" t="n"/>
      <c r="D17" s="7" t="n"/>
      <c r="E17" s="7" t="n"/>
      <c r="F17" s="7" t="n"/>
      <c r="G17" s="7" t="n"/>
      <c r="H17" s="7" t="n"/>
    </row>
    <row r="18">
      <c r="A18" s="5" t="inlineStr">
        <is>
          <t xml:space="preserve">  &gt;&gt; Dash_FCSI</t>
        </is>
      </c>
      <c r="B18" s="6" t="inlineStr">
        <is>
          <t>FCSI Dashboard — Focused Crime Suppression Initiative</t>
        </is>
      </c>
      <c r="C18" s="7" t="n"/>
      <c r="D18" s="7" t="n"/>
      <c r="E18" s="7" t="n"/>
      <c r="F18" s="7" t="n"/>
      <c r="G18" s="7" t="n"/>
      <c r="H18" s="7" t="n"/>
    </row>
    <row r="19">
      <c r="A19" s="5" t="inlineStr">
        <is>
          <t xml:space="preserve">  &gt;&gt; Statistics_Hub</t>
        </is>
      </c>
      <c r="B19" s="6" t="inlineStr">
        <is>
          <t>Central Statistics Hub — All Modules Aggregated</t>
        </is>
      </c>
      <c r="C19" s="7" t="n"/>
      <c r="D19" s="7" t="n"/>
      <c r="E19" s="7" t="n"/>
      <c r="F19" s="7" t="n"/>
      <c r="G19" s="7" t="n"/>
      <c r="H19" s="7" t="n"/>
    </row>
    <row r="20">
      <c r="A20" s="5" t="inlineStr">
        <is>
          <t xml:space="preserve">  &gt;&gt; Dash_Registry</t>
        </is>
      </c>
      <c r="B20" s="6" t="inlineStr">
        <is>
          <t>Registry Dashboard</t>
        </is>
      </c>
      <c r="C20" s="7" t="n"/>
      <c r="D20" s="7" t="n"/>
      <c r="E20" s="7" t="n"/>
      <c r="F20" s="7" t="n"/>
      <c r="G20" s="7" t="n"/>
      <c r="H20" s="7" t="n"/>
    </row>
    <row r="21">
      <c r="A21" s="5" t="inlineStr">
        <is>
          <t xml:space="preserve">  &gt;&gt; Dash_Investigations</t>
        </is>
      </c>
      <c r="B21" s="6" t="inlineStr">
        <is>
          <t>Investigations Dashboard</t>
        </is>
      </c>
      <c r="C21" s="7" t="n"/>
      <c r="D21" s="7" t="n"/>
      <c r="E21" s="7" t="n"/>
      <c r="F21" s="7" t="n"/>
      <c r="G21" s="7" t="n"/>
      <c r="H21" s="7" t="n"/>
    </row>
    <row r="22">
      <c r="A22" s="5" t="inlineStr">
        <is>
          <t xml:space="preserve">  &gt;&gt; Dash_Operations</t>
        </is>
      </c>
      <c r="B22" s="6" t="inlineStr">
        <is>
          <t>Operations Dashboard</t>
        </is>
      </c>
      <c r="C22" s="7" t="n"/>
      <c r="D22" s="7" t="n"/>
      <c r="E22" s="7" t="n"/>
      <c r="F22" s="7" t="n"/>
      <c r="G22" s="7" t="n"/>
      <c r="H22" s="7" t="n"/>
    </row>
    <row r="23">
      <c r="A23" s="5" t="inlineStr">
        <is>
          <t xml:space="preserve">  &gt;&gt; Dash_Intelligence</t>
        </is>
      </c>
      <c r="B23" s="6" t="inlineStr">
        <is>
          <t>Intelligence Dashboard</t>
        </is>
      </c>
      <c r="C23" s="7" t="n"/>
      <c r="D23" s="7" t="n"/>
      <c r="E23" s="7" t="n"/>
      <c r="F23" s="7" t="n"/>
      <c r="G23" s="7" t="n"/>
      <c r="H23" s="7" t="n"/>
    </row>
    <row r="24">
      <c r="A24" s="5" t="inlineStr">
        <is>
          <t xml:space="preserve">  &gt;&gt; Dash_Transport</t>
        </is>
      </c>
      <c r="B24" s="6" t="inlineStr">
        <is>
          <t>Transport Dashboard</t>
        </is>
      </c>
      <c r="C24" s="7" t="n"/>
      <c r="D24" s="7" t="n"/>
      <c r="E24" s="7" t="n"/>
      <c r="F24" s="7" t="n"/>
      <c r="G24" s="7" t="n"/>
      <c r="H24" s="7" t="n"/>
    </row>
    <row r="25">
      <c r="A25" s="5" t="inlineStr">
        <is>
          <t xml:space="preserve">  &gt;&gt; Dash_Evidence</t>
        </is>
      </c>
      <c r="B25" s="6" t="inlineStr">
        <is>
          <t>Evidence &amp; Forensics Dashboard</t>
        </is>
      </c>
      <c r="C25" s="7" t="n"/>
      <c r="D25" s="7" t="n"/>
      <c r="E25" s="7" t="n"/>
      <c r="F25" s="7" t="n"/>
      <c r="G25" s="7" t="n"/>
      <c r="H25" s="7" t="n"/>
    </row>
    <row r="26">
      <c r="A26" s="5" t="inlineStr">
        <is>
          <t xml:space="preserve">  &gt;&gt; Dash_DemandReduction</t>
        </is>
      </c>
      <c r="B26" s="6" t="inlineStr">
        <is>
          <t>Demand Reduction Dashboard</t>
        </is>
      </c>
      <c r="C26" s="7" t="n"/>
      <c r="D26" s="7" t="n"/>
      <c r="E26" s="7" t="n"/>
      <c r="F26" s="7" t="n"/>
      <c r="G26" s="7" t="n"/>
      <c r="H26" s="7" t="n"/>
    </row>
    <row r="27">
      <c r="A27" s="5" t="inlineStr">
        <is>
          <t xml:space="preserve">  &gt;&gt; Dash_Oversight</t>
        </is>
      </c>
      <c r="B27" s="6" t="inlineStr">
        <is>
          <t>Oversight &amp; Compliance Dashboard</t>
        </is>
      </c>
      <c r="C27" s="7" t="n"/>
      <c r="D27" s="7" t="n"/>
      <c r="E27" s="7" t="n"/>
      <c r="F27" s="7" t="n"/>
      <c r="G27" s="7" t="n"/>
      <c r="H27" s="7" t="n"/>
    </row>
    <row r="29" ht="26" customHeight="1">
      <c r="A29" s="9" t="inlineStr">
        <is>
          <t>DATA TABLES (Back-End)</t>
        </is>
      </c>
    </row>
    <row r="30">
      <c r="A30" s="5" t="inlineStr">
        <is>
          <t xml:space="preserve">  &gt;&gt; tbl_Cases</t>
        </is>
      </c>
      <c r="B30" s="6" t="inlineStr">
        <is>
          <t>Cases Register</t>
        </is>
      </c>
      <c r="C30" s="7" t="n"/>
      <c r="D30" s="7" t="n"/>
      <c r="E30" s="7" t="n"/>
      <c r="F30" s="7" t="n"/>
      <c r="G30" s="7" t="n"/>
      <c r="H30" s="7" t="n"/>
    </row>
    <row r="31">
      <c r="A31" s="5" t="inlineStr">
        <is>
          <t xml:space="preserve">  &gt;&gt; tbl_Actions</t>
        </is>
      </c>
      <c r="B31" s="6" t="inlineStr">
        <is>
          <t>Action Items</t>
        </is>
      </c>
      <c r="C31" s="7" t="n"/>
      <c r="D31" s="7" t="n"/>
      <c r="E31" s="7" t="n"/>
      <c r="F31" s="7" t="n"/>
      <c r="G31" s="7" t="n"/>
      <c r="H31" s="7" t="n"/>
    </row>
    <row r="32">
      <c r="A32" s="5" t="inlineStr">
        <is>
          <t xml:space="preserve">  &gt;&gt; tbl_Reviews</t>
        </is>
      </c>
      <c r="B32" s="6" t="inlineStr">
        <is>
          <t>Supervisory Reviews</t>
        </is>
      </c>
      <c r="C32" s="7" t="n"/>
      <c r="D32" s="7" t="n"/>
      <c r="E32" s="7" t="n"/>
      <c r="F32" s="7" t="n"/>
      <c r="G32" s="7" t="n"/>
      <c r="H32" s="7" t="n"/>
    </row>
    <row r="33">
      <c r="A33" s="5" t="inlineStr">
        <is>
          <t xml:space="preserve">  &gt;&gt; tbl_DiaryEntries</t>
        </is>
      </c>
      <c r="B33" s="6" t="inlineStr">
        <is>
          <t>Investigation Diary</t>
        </is>
      </c>
      <c r="C33" s="7" t="n"/>
      <c r="D33" s="7" t="n"/>
      <c r="E33" s="7" t="n"/>
      <c r="F33" s="7" t="n"/>
      <c r="G33" s="7" t="n"/>
      <c r="H33" s="7" t="n"/>
    </row>
    <row r="34">
      <c r="A34" s="5" t="inlineStr">
        <is>
          <t xml:space="preserve">  &gt;&gt; tbl_RadioMessages</t>
        </is>
      </c>
      <c r="B34" s="6" t="inlineStr">
        <is>
          <t>Radio Messages</t>
        </is>
      </c>
      <c r="C34" s="7" t="n"/>
      <c r="D34" s="7" t="n"/>
      <c r="E34" s="7" t="n"/>
      <c r="F34" s="7" t="n"/>
      <c r="G34" s="7" t="n"/>
      <c r="H34" s="7" t="n"/>
    </row>
    <row r="35">
      <c r="A35" s="5" t="inlineStr">
        <is>
          <t xml:space="preserve">  &gt;&gt; tbl_Persons</t>
        </is>
      </c>
      <c r="B35" s="6" t="inlineStr">
        <is>
          <t>Persons of Interest</t>
        </is>
      </c>
      <c r="C35" s="7" t="n"/>
      <c r="D35" s="7" t="n"/>
      <c r="E35" s="7" t="n"/>
      <c r="F35" s="7" t="n"/>
      <c r="G35" s="7" t="n"/>
      <c r="H35" s="7" t="n"/>
    </row>
    <row r="36">
      <c r="A36" s="5" t="inlineStr">
        <is>
          <t xml:space="preserve">  &gt;&gt; tbl_MCR_Raw</t>
        </is>
      </c>
      <c r="B36" s="6" t="inlineStr">
        <is>
          <t>Morning Crime Report Intake</t>
        </is>
      </c>
      <c r="C36" s="7" t="n"/>
      <c r="D36" s="7" t="n"/>
      <c r="E36" s="7" t="n"/>
      <c r="F36" s="7" t="n"/>
      <c r="G36" s="7" t="n"/>
      <c r="H36" s="7" t="n"/>
    </row>
    <row r="37">
      <c r="A37" s="5" t="inlineStr">
        <is>
          <t xml:space="preserve">  &gt;&gt; tbl_Leads</t>
        </is>
      </c>
      <c r="B37" s="6" t="inlineStr">
        <is>
          <t>Lead Register</t>
        </is>
      </c>
      <c r="C37" s="7" t="n"/>
      <c r="D37" s="7" t="n"/>
      <c r="E37" s="7" t="n"/>
      <c r="F37" s="7" t="n"/>
      <c r="G37" s="7" t="n"/>
      <c r="H37" s="7" t="n"/>
    </row>
    <row r="38">
      <c r="A38" s="5" t="inlineStr">
        <is>
          <t xml:space="preserve">  &gt;&gt; tbl_FollowUpRecs</t>
        </is>
      </c>
      <c r="B38" s="6" t="inlineStr">
        <is>
          <t>Follow-Up Recommendations</t>
        </is>
      </c>
      <c r="C38" s="7" t="n"/>
      <c r="D38" s="7" t="n"/>
      <c r="E38" s="7" t="n"/>
      <c r="F38" s="7" t="n"/>
      <c r="G38" s="7" t="n"/>
      <c r="H38" s="7" t="n"/>
    </row>
    <row r="39">
      <c r="A39" s="5" t="inlineStr">
        <is>
          <t xml:space="preserve">  &gt;&gt; tbl_IntelBriefings</t>
        </is>
      </c>
      <c r="B39" s="6" t="inlineStr">
        <is>
          <t>Intelligence Briefings</t>
        </is>
      </c>
      <c r="C39" s="7" t="n"/>
      <c r="D39" s="7" t="n"/>
      <c r="E39" s="7" t="n"/>
      <c r="F39" s="7" t="n"/>
      <c r="G39" s="7" t="n"/>
      <c r="H39" s="7" t="n"/>
    </row>
    <row r="40">
      <c r="A40" s="5" t="inlineStr">
        <is>
          <t xml:space="preserve">  &gt;&gt; tbl_Operations</t>
        </is>
      </c>
      <c r="B40" s="6" t="inlineStr">
        <is>
          <t>Operations Register</t>
        </is>
      </c>
      <c r="C40" s="7" t="n"/>
      <c r="D40" s="7" t="n"/>
      <c r="E40" s="7" t="n"/>
      <c r="F40" s="7" t="n"/>
      <c r="G40" s="7" t="n"/>
      <c r="H40" s="7" t="n"/>
    </row>
    <row r="41">
      <c r="A41" s="5" t="inlineStr">
        <is>
          <t xml:space="preserve">  &gt;&gt; tbl_Exhibits</t>
        </is>
      </c>
      <c r="B41" s="6" t="inlineStr">
        <is>
          <t>Evidence/Exhibits Pool</t>
        </is>
      </c>
      <c r="C41" s="7" t="n"/>
      <c r="D41" s="7" t="n"/>
      <c r="E41" s="7" t="n"/>
      <c r="F41" s="7" t="n"/>
      <c r="G41" s="7" t="n"/>
      <c r="H41" s="7" t="n"/>
    </row>
    <row r="42">
      <c r="A42" s="5" t="inlineStr">
        <is>
          <t xml:space="preserve">  &gt;&gt; tbl_Vehicles</t>
        </is>
      </c>
      <c r="B42" s="6" t="inlineStr">
        <is>
          <t>Vehicle Register</t>
        </is>
      </c>
      <c r="C42" s="7" t="n"/>
      <c r="D42" s="7" t="n"/>
      <c r="E42" s="7" t="n"/>
      <c r="F42" s="7" t="n"/>
      <c r="G42" s="7" t="n"/>
      <c r="H42" s="7" t="n"/>
    </row>
    <row r="43">
      <c r="A43" s="5" t="inlineStr">
        <is>
          <t xml:space="preserve">  &gt;&gt; tbl_VehicleUsage</t>
        </is>
      </c>
      <c r="B43" s="6" t="inlineStr">
        <is>
          <t>Vehicle Usage Log</t>
        </is>
      </c>
      <c r="C43" s="7" t="n"/>
      <c r="D43" s="7" t="n"/>
      <c r="E43" s="7" t="n"/>
      <c r="F43" s="7" t="n"/>
      <c r="G43" s="7" t="n"/>
      <c r="H43" s="7" t="n"/>
    </row>
    <row r="44">
      <c r="A44" s="5" t="inlineStr">
        <is>
          <t xml:space="preserve">  &gt;&gt; tbl_FuelLog</t>
        </is>
      </c>
      <c r="B44" s="6" t="inlineStr">
        <is>
          <t>Fuel Log</t>
        </is>
      </c>
      <c r="C44" s="7" t="n"/>
      <c r="D44" s="7" t="n"/>
      <c r="E44" s="7" t="n"/>
      <c r="F44" s="7" t="n"/>
      <c r="G44" s="7" t="n"/>
      <c r="H44" s="7" t="n"/>
    </row>
    <row r="45">
      <c r="A45" s="5" t="inlineStr">
        <is>
          <t xml:space="preserve">  &gt;&gt; tbl_Maintenance</t>
        </is>
      </c>
      <c r="B45" s="6" t="inlineStr">
        <is>
          <t>Maintenance Register</t>
        </is>
      </c>
      <c r="C45" s="7" t="n"/>
      <c r="D45" s="7" t="n"/>
      <c r="E45" s="7" t="n"/>
      <c r="F45" s="7" t="n"/>
      <c r="G45" s="7" t="n"/>
      <c r="H45" s="7" t="n"/>
    </row>
    <row r="46">
      <c r="A46" s="5" t="inlineStr">
        <is>
          <t xml:space="preserve">  &gt;&gt; tbl_Drivers</t>
        </is>
      </c>
      <c r="B46" s="6" t="inlineStr">
        <is>
          <t>Driver Registry</t>
        </is>
      </c>
      <c r="C46" s="7" t="n"/>
      <c r="D46" s="7" t="n"/>
      <c r="E46" s="7" t="n"/>
      <c r="F46" s="7" t="n"/>
      <c r="G46" s="7" t="n"/>
      <c r="H46" s="7" t="n"/>
    </row>
    <row r="47">
      <c r="A47" s="5" t="inlineStr">
        <is>
          <t xml:space="preserve">  &gt;&gt; tbl_DemandReduction</t>
        </is>
      </c>
      <c r="B47" s="6" t="inlineStr">
        <is>
          <t>Demand Reduction Lectures</t>
        </is>
      </c>
      <c r="C47" s="7" t="n"/>
      <c r="D47" s="7" t="n"/>
      <c r="E47" s="7" t="n"/>
      <c r="F47" s="7" t="n"/>
      <c r="G47" s="7" t="n"/>
      <c r="H47" s="7" t="n"/>
    </row>
    <row r="48">
      <c r="A48" s="5" t="inlineStr">
        <is>
          <t xml:space="preserve">  &gt;&gt; tbl_UnitPlans</t>
        </is>
      </c>
      <c r="B48" s="6" t="inlineStr">
        <is>
          <t>Unit Plans, Targets &amp; Performance</t>
        </is>
      </c>
      <c r="C48" s="7" t="n"/>
      <c r="D48" s="7" t="n"/>
      <c r="E48" s="7" t="n"/>
      <c r="F48" s="7" t="n"/>
      <c r="G48" s="7" t="n"/>
      <c r="H48" s="7" t="n"/>
    </row>
    <row r="50" ht="26" customHeight="1">
      <c r="A50" s="10" t="inlineStr">
        <is>
          <t>REFERENCE &amp; FORMS</t>
        </is>
      </c>
    </row>
    <row r="51">
      <c r="A51" s="5" t="inlineStr">
        <is>
          <t xml:space="preserve">  &gt;&gt; Lookups</t>
        </is>
      </c>
      <c r="B51" s="6" t="inlineStr">
        <is>
          <t>Dropdown Lists &amp; Reference Data</t>
        </is>
      </c>
      <c r="C51" s="7" t="n"/>
      <c r="D51" s="7" t="n"/>
      <c r="E51" s="7" t="n"/>
      <c r="F51" s="7" t="n"/>
      <c r="G51" s="7" t="n"/>
      <c r="H51" s="7" t="n"/>
    </row>
    <row r="52">
      <c r="A52" s="5" t="inlineStr">
        <is>
          <t xml:space="preserve">  &gt;&gt; OffenceClassMap</t>
        </is>
      </c>
      <c r="B52" s="6" t="inlineStr">
        <is>
          <t>Offence Classification &amp; FNID Routing Map</t>
        </is>
      </c>
      <c r="C52" s="7" t="n"/>
      <c r="D52" s="7" t="n"/>
      <c r="E52" s="7" t="n"/>
      <c r="F52" s="7" t="n"/>
      <c r="G52" s="7" t="n"/>
      <c r="H52" s="7" t="n"/>
    </row>
    <row r="53">
      <c r="A53" s="5" t="inlineStr">
        <is>
          <t xml:space="preserve">  &gt;&gt; ForensicRouting</t>
        </is>
      </c>
      <c r="B53" s="6" t="inlineStr">
        <is>
          <t>Evidence → Forensic Agency Routing</t>
        </is>
      </c>
      <c r="C53" s="7" t="n"/>
      <c r="D53" s="7" t="n"/>
      <c r="E53" s="7" t="n"/>
      <c r="F53" s="7" t="n"/>
      <c r="G53" s="7" t="n"/>
      <c r="H53" s="7" t="n"/>
    </row>
    <row r="54">
      <c r="A54" s="5" t="inlineStr">
        <is>
          <t xml:space="preserve">  &gt;&gt; EvidenceUseMap</t>
        </is>
      </c>
      <c r="B54" s="6" t="inlineStr">
        <is>
          <t>Evidence → Evidential Use Mapping</t>
        </is>
      </c>
      <c r="C54" s="7" t="n"/>
      <c r="D54" s="7" t="n"/>
      <c r="E54" s="7" t="n"/>
      <c r="F54" s="7" t="n"/>
      <c r="G54" s="7" t="n"/>
      <c r="H54" s="7" t="n"/>
    </row>
    <row r="55">
      <c r="A55" s="5" t="inlineStr">
        <is>
          <t xml:space="preserve">  &gt;&gt; Form_CR1</t>
        </is>
      </c>
      <c r="B55" s="6" t="inlineStr">
        <is>
          <t>CR1 Form Template (Printable)</t>
        </is>
      </c>
      <c r="C55" s="7" t="n"/>
      <c r="D55" s="7" t="n"/>
      <c r="E55" s="7" t="n"/>
      <c r="F55" s="7" t="n"/>
      <c r="G55" s="7" t="n"/>
      <c r="H55" s="7" t="n"/>
    </row>
    <row r="56">
      <c r="A56" s="5" t="inlineStr">
        <is>
          <t xml:space="preserve">  &gt;&gt; Form_CR2</t>
        </is>
      </c>
      <c r="B56" s="6" t="inlineStr">
        <is>
          <t>CR2 Form Template (Printable)</t>
        </is>
      </c>
      <c r="C56" s="7" t="n"/>
      <c r="D56" s="7" t="n"/>
      <c r="E56" s="7" t="n"/>
      <c r="F56" s="7" t="n"/>
      <c r="G56" s="7" t="n"/>
      <c r="H56" s="7" t="n"/>
    </row>
    <row r="57">
      <c r="A57" s="5" t="inlineStr">
        <is>
          <t xml:space="preserve">  &gt;&gt; Form_CR5</t>
        </is>
      </c>
      <c r="B57" s="6" t="inlineStr">
        <is>
          <t>CR5 Form Template (Printable)</t>
        </is>
      </c>
      <c r="C57" s="7" t="n"/>
      <c r="D57" s="7" t="n"/>
      <c r="E57" s="7" t="n"/>
      <c r="F57" s="7" t="n"/>
      <c r="G57" s="7" t="n"/>
      <c r="H57" s="7" t="n"/>
    </row>
    <row r="58">
      <c r="A58" s="5" t="inlineStr">
        <is>
          <t xml:space="preserve">  &gt;&gt; Form_CaseSummary</t>
        </is>
      </c>
      <c r="B58" s="6" t="inlineStr">
        <is>
          <t>Case Summary Report Template</t>
        </is>
      </c>
      <c r="C58" s="7" t="n"/>
      <c r="D58" s="7" t="n"/>
      <c r="E58" s="7" t="n"/>
      <c r="F58" s="7" t="n"/>
      <c r="G58" s="7" t="n"/>
      <c r="H58" s="7" t="n"/>
    </row>
    <row r="61">
      <c r="A61" s="11" t="inlineStr">
        <is>
          <t>FNID Area 3 Operational Workbook | Confidential — For Official Use Only | Generated 2026-02-26</t>
        </is>
      </c>
    </row>
  </sheetData>
  <mergeCells count="55">
    <mergeCell ref="B40:H40"/>
    <mergeCell ref="B9:H9"/>
    <mergeCell ref="B55:H55"/>
    <mergeCell ref="B6:H6"/>
    <mergeCell ref="B24:H24"/>
    <mergeCell ref="B30:H30"/>
    <mergeCell ref="B33:H33"/>
    <mergeCell ref="A1:H1"/>
    <mergeCell ref="B51:H51"/>
    <mergeCell ref="B20:H20"/>
    <mergeCell ref="B37:H37"/>
    <mergeCell ref="A61:H61"/>
    <mergeCell ref="B45:H45"/>
    <mergeCell ref="B36:H36"/>
    <mergeCell ref="B32:H32"/>
    <mergeCell ref="B26:H26"/>
    <mergeCell ref="B41:H41"/>
    <mergeCell ref="B35:H35"/>
    <mergeCell ref="A16:H16"/>
    <mergeCell ref="B47:H47"/>
    <mergeCell ref="B54:H54"/>
    <mergeCell ref="B7:H7"/>
    <mergeCell ref="B25:H25"/>
    <mergeCell ref="B31:H31"/>
    <mergeCell ref="B46:H46"/>
    <mergeCell ref="A50:H50"/>
    <mergeCell ref="B22:H22"/>
    <mergeCell ref="A3:H3"/>
    <mergeCell ref="B18:H18"/>
    <mergeCell ref="B27:H27"/>
    <mergeCell ref="B56:H56"/>
    <mergeCell ref="B52:H52"/>
    <mergeCell ref="B21:H21"/>
    <mergeCell ref="A2:H2"/>
    <mergeCell ref="B43:H43"/>
    <mergeCell ref="B12:H12"/>
    <mergeCell ref="B39:H39"/>
    <mergeCell ref="B58:H58"/>
    <mergeCell ref="B48:H48"/>
    <mergeCell ref="A5:H5"/>
    <mergeCell ref="B11:H11"/>
    <mergeCell ref="B42:H42"/>
    <mergeCell ref="B23:H23"/>
    <mergeCell ref="B8:H8"/>
    <mergeCell ref="B14:H14"/>
    <mergeCell ref="B17:H17"/>
    <mergeCell ref="A29:H29"/>
    <mergeCell ref="B13:H13"/>
    <mergeCell ref="B57:H57"/>
    <mergeCell ref="B44:H44"/>
    <mergeCell ref="B53:H53"/>
    <mergeCell ref="B38:H38"/>
    <mergeCell ref="B10:H10"/>
    <mergeCell ref="B19:H19"/>
    <mergeCell ref="B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</cols>
  <sheetData>
    <row r="1">
      <c r="A1" s="12" t="inlineStr">
        <is>
          <t>CaseStatus</t>
        </is>
      </c>
      <c r="B1" s="12" t="inlineStr">
        <is>
          <t>Priority</t>
        </is>
      </c>
      <c r="C1" s="12" t="inlineStr">
        <is>
          <t>OffenceType</t>
        </is>
      </c>
      <c r="D1" s="12" t="inlineStr">
        <is>
          <t>Parish</t>
        </is>
      </c>
      <c r="E1" s="12" t="inlineStr">
        <is>
          <t>Unit</t>
        </is>
      </c>
      <c r="F1" s="12" t="inlineStr">
        <is>
          <t>LeadSource</t>
        </is>
      </c>
      <c r="G1" s="12" t="inlineStr">
        <is>
          <t>TriageDecision</t>
        </is>
      </c>
      <c r="H1" s="12" t="inlineStr">
        <is>
          <t>OpsType</t>
        </is>
      </c>
      <c r="I1" s="12" t="inlineStr">
        <is>
          <t>YesNo</t>
        </is>
      </c>
      <c r="J1" s="12" t="inlineStr">
        <is>
          <t>Credibility</t>
        </is>
      </c>
      <c r="K1" s="12" t="inlineStr">
        <is>
          <t>EvidenceType</t>
        </is>
      </c>
      <c r="L1" s="12" t="inlineStr">
        <is>
          <t>ForensicAgency</t>
        </is>
      </c>
      <c r="M1" s="12" t="inlineStr">
        <is>
          <t>AnalysisStatus</t>
        </is>
      </c>
      <c r="N1" s="12" t="inlineStr">
        <is>
          <t>CourtReadiness</t>
        </is>
      </c>
      <c r="O1" s="12" t="inlineStr">
        <is>
          <t>VehicleStatus</t>
        </is>
      </c>
      <c r="P1" s="12" t="inlineStr">
        <is>
          <t>TrafficLight</t>
        </is>
      </c>
      <c r="Q1" s="12" t="inlineStr">
        <is>
          <t>Rank</t>
        </is>
      </c>
      <c r="R1" s="12" t="inlineStr">
        <is>
          <t>Frequency</t>
        </is>
      </c>
      <c r="S1" s="12" t="inlineStr">
        <is>
          <t>LeadOutcome</t>
        </is>
      </c>
      <c r="T1" s="12" t="inlineStr">
        <is>
          <t>ComplianceStatus</t>
        </is>
      </c>
    </row>
    <row r="2">
      <c r="A2" t="inlineStr">
        <is>
          <t>Open</t>
        </is>
      </c>
      <c r="B2" t="inlineStr">
        <is>
          <t>Critical</t>
        </is>
      </c>
      <c r="C2" t="inlineStr">
        <is>
          <t>Illegal Possession of Firearm</t>
        </is>
      </c>
      <c r="D2" t="inlineStr">
        <is>
          <t>Kingston</t>
        </is>
      </c>
      <c r="E2" t="inlineStr">
        <is>
          <t>Registry</t>
        </is>
      </c>
      <c r="F2" t="inlineStr">
        <is>
          <t>MCR</t>
        </is>
      </c>
      <c r="G2" t="inlineStr">
        <is>
          <t>Action Immediately</t>
        </is>
      </c>
      <c r="H2" t="inlineStr">
        <is>
          <t>Search Warrant</t>
        </is>
      </c>
      <c r="I2" t="inlineStr">
        <is>
          <t>Yes</t>
        </is>
      </c>
      <c r="J2" t="inlineStr">
        <is>
          <t>A - Reliable</t>
        </is>
      </c>
      <c r="K2" t="inlineStr">
        <is>
          <t>Firearm</t>
        </is>
      </c>
      <c r="L2" t="inlineStr">
        <is>
          <t>Government Forensic Lab</t>
        </is>
      </c>
      <c r="M2" t="inlineStr">
        <is>
          <t>Pending</t>
        </is>
      </c>
      <c r="N2" t="inlineStr">
        <is>
          <t>Ready</t>
        </is>
      </c>
      <c r="O2" t="inlineStr">
        <is>
          <t>Available</t>
        </is>
      </c>
      <c r="P2" t="inlineStr">
        <is>
          <t>On Track</t>
        </is>
      </c>
      <c r="Q2" t="inlineStr">
        <is>
          <t>Constable</t>
        </is>
      </c>
      <c r="R2" t="inlineStr">
        <is>
          <t>Daily</t>
        </is>
      </c>
      <c r="S2" t="inlineStr">
        <is>
          <t>Converted to Case</t>
        </is>
      </c>
      <c r="T2" t="inlineStr">
        <is>
          <t>Compliant</t>
        </is>
      </c>
    </row>
    <row r="3">
      <c r="A3" t="inlineStr">
        <is>
          <t>Active</t>
        </is>
      </c>
      <c r="B3" t="inlineStr">
        <is>
          <t>High</t>
        </is>
      </c>
      <c r="C3" t="inlineStr">
        <is>
          <t>Illegal Possession of Ammunition</t>
        </is>
      </c>
      <c r="D3" t="inlineStr">
        <is>
          <t>St. Andrew</t>
        </is>
      </c>
      <c r="E3" t="inlineStr">
        <is>
          <t>Investigations</t>
        </is>
      </c>
      <c r="F3" t="inlineStr">
        <is>
          <t>Operations</t>
        </is>
      </c>
      <c r="G3" t="inlineStr">
        <is>
          <t>Investigate</t>
        </is>
      </c>
      <c r="H3" t="inlineStr">
        <is>
          <t>Patrol</t>
        </is>
      </c>
      <c r="I3" t="inlineStr">
        <is>
          <t>No</t>
        </is>
      </c>
      <c r="J3" t="inlineStr">
        <is>
          <t>B - Usually Reliable</t>
        </is>
      </c>
      <c r="K3" t="inlineStr">
        <is>
          <t>Ammunition</t>
        </is>
      </c>
      <c r="L3" t="inlineStr">
        <is>
          <t>Ballistics Unit</t>
        </is>
      </c>
      <c r="M3" t="inlineStr">
        <is>
          <t>Submitted</t>
        </is>
      </c>
      <c r="N3" t="inlineStr">
        <is>
          <t>Not Ready</t>
        </is>
      </c>
      <c r="O3" t="inlineStr">
        <is>
          <t>In Use</t>
        </is>
      </c>
      <c r="P3" t="inlineStr">
        <is>
          <t>At Risk</t>
        </is>
      </c>
      <c r="Q3" t="inlineStr">
        <is>
          <t>Corporal</t>
        </is>
      </c>
      <c r="R3" t="inlineStr">
        <is>
          <t>Weekly</t>
        </is>
      </c>
      <c r="S3" t="inlineStr">
        <is>
          <t>Converted to Op</t>
        </is>
      </c>
      <c r="T3" t="inlineStr">
        <is>
          <t>Non-Compliant</t>
        </is>
      </c>
    </row>
    <row r="4">
      <c r="A4" t="inlineStr">
        <is>
          <t>Under Investigation</t>
        </is>
      </c>
      <c r="B4" t="inlineStr">
        <is>
          <t>Medium</t>
        </is>
      </c>
      <c r="C4" t="inlineStr">
        <is>
          <t>Shooting with Intent</t>
        </is>
      </c>
      <c r="D4" t="inlineStr">
        <is>
          <t>St. Catherine</t>
        </is>
      </c>
      <c r="E4" t="inlineStr">
        <is>
          <t>Operations</t>
        </is>
      </c>
      <c r="F4" t="inlineStr">
        <is>
          <t>Tip-off</t>
        </is>
      </c>
      <c r="G4" t="inlineStr">
        <is>
          <t>Monitor</t>
        </is>
      </c>
      <c r="H4" t="inlineStr">
        <is>
          <t>Checkpoint</t>
        </is>
      </c>
      <c r="J4" t="inlineStr">
        <is>
          <t>C - Fairly Reliable</t>
        </is>
      </c>
      <c r="K4" t="inlineStr">
        <is>
          <t>Narcotics - Cannabis</t>
        </is>
      </c>
      <c r="L4" t="inlineStr">
        <is>
          <t>Fingerprint Bureau</t>
        </is>
      </c>
      <c r="M4" t="inlineStr">
        <is>
          <t>In Progress</t>
        </is>
      </c>
      <c r="N4" t="inlineStr">
        <is>
          <t>Partial</t>
        </is>
      </c>
      <c r="O4" t="inlineStr">
        <is>
          <t>Under Maintenance</t>
        </is>
      </c>
      <c r="P4" t="inlineStr">
        <is>
          <t>Off Track</t>
        </is>
      </c>
      <c r="Q4" t="inlineStr">
        <is>
          <t>Sergeant</t>
        </is>
      </c>
      <c r="R4" t="inlineStr">
        <is>
          <t>Monthly</t>
        </is>
      </c>
      <c r="S4" t="inlineStr">
        <is>
          <t>Intel Filed</t>
        </is>
      </c>
      <c r="T4" t="inlineStr">
        <is>
          <t>Under Review</t>
        </is>
      </c>
    </row>
    <row r="5">
      <c r="A5" t="inlineStr">
        <is>
          <t>Pending Review</t>
        </is>
      </c>
      <c r="B5" t="inlineStr">
        <is>
          <t>Low</t>
        </is>
      </c>
      <c r="C5" t="inlineStr">
        <is>
          <t>Murder (Firearm)</t>
        </is>
      </c>
      <c r="D5" t="inlineStr">
        <is>
          <t>Clarendon</t>
        </is>
      </c>
      <c r="E5" t="inlineStr">
        <is>
          <t>Intelligence</t>
        </is>
      </c>
      <c r="F5" t="inlineStr">
        <is>
          <t>Informant</t>
        </is>
      </c>
      <c r="G5" t="inlineStr">
        <is>
          <t>Archive</t>
        </is>
      </c>
      <c r="H5" t="inlineStr">
        <is>
          <t>Surveillance</t>
        </is>
      </c>
      <c r="J5" t="inlineStr">
        <is>
          <t>D - Not Usually Reliable</t>
        </is>
      </c>
      <c r="K5" t="inlineStr">
        <is>
          <t>Narcotics - Cocaine</t>
        </is>
      </c>
      <c r="L5" t="inlineStr">
        <is>
          <t>Cyber Forensics Unit</t>
        </is>
      </c>
      <c r="M5" t="inlineStr">
        <is>
          <t>Completed</t>
        </is>
      </c>
      <c r="N5" t="inlineStr">
        <is>
          <t>Under Review</t>
        </is>
      </c>
      <c r="O5" t="inlineStr">
        <is>
          <t>Out of Service</t>
        </is>
      </c>
      <c r="Q5" t="inlineStr">
        <is>
          <t>Inspector</t>
        </is>
      </c>
      <c r="R5" t="inlineStr">
        <is>
          <t>Quarterly</t>
        </is>
      </c>
      <c r="S5" t="inlineStr">
        <is>
          <t>Closed - No Action</t>
        </is>
      </c>
      <c r="T5" t="inlineStr">
        <is>
          <t>Overdue</t>
        </is>
      </c>
    </row>
    <row r="6">
      <c r="A6" t="inlineStr">
        <is>
          <t>Pending Court</t>
        </is>
      </c>
      <c r="C6" t="inlineStr">
        <is>
          <t>Robbery (Firearm)</t>
        </is>
      </c>
      <c r="D6" t="inlineStr">
        <is>
          <t>Manchester</t>
        </is>
      </c>
      <c r="E6" t="inlineStr">
        <is>
          <t>Transport</t>
        </is>
      </c>
      <c r="F6" t="inlineStr">
        <is>
          <t>Surveillance</t>
        </is>
      </c>
      <c r="G6" t="inlineStr">
        <is>
          <t>Forward to External Agency</t>
        </is>
      </c>
      <c r="H6" t="inlineStr">
        <is>
          <t>Raid</t>
        </is>
      </c>
      <c r="J6" t="inlineStr">
        <is>
          <t>E - Unreliable</t>
        </is>
      </c>
      <c r="K6" t="inlineStr">
        <is>
          <t>Narcotics - Other</t>
        </is>
      </c>
      <c r="L6" t="inlineStr">
        <is>
          <t>Chemistry Division</t>
        </is>
      </c>
      <c r="M6" t="inlineStr">
        <is>
          <t>Inconclusive</t>
        </is>
      </c>
      <c r="O6" t="inlineStr">
        <is>
          <t>Reserved</t>
        </is>
      </c>
      <c r="Q6" t="inlineStr">
        <is>
          <t>ASP</t>
        </is>
      </c>
      <c r="R6" t="inlineStr">
        <is>
          <t>Annually</t>
        </is>
      </c>
      <c r="S6" t="inlineStr">
        <is>
          <t>Pending</t>
        </is>
      </c>
      <c r="T6" t="inlineStr">
        <is>
          <t>N/A</t>
        </is>
      </c>
    </row>
    <row r="7">
      <c r="A7" t="inlineStr">
        <is>
          <t>Closed - Convicted</t>
        </is>
      </c>
      <c r="C7" t="inlineStr">
        <is>
          <t>Possession of Narcotics</t>
        </is>
      </c>
      <c r="D7" t="inlineStr">
        <is>
          <t>St. Elizabeth</t>
        </is>
      </c>
      <c r="E7" t="inlineStr">
        <is>
          <t>Demand Reduction</t>
        </is>
      </c>
      <c r="F7" t="inlineStr">
        <is>
          <t>Inter-Agency</t>
        </is>
      </c>
      <c r="H7" t="inlineStr">
        <is>
          <t>Arrest Operation</t>
        </is>
      </c>
      <c r="J7" t="inlineStr">
        <is>
          <t>F - Unknown</t>
        </is>
      </c>
      <c r="K7" t="inlineStr">
        <is>
          <t>Cash/Currency</t>
        </is>
      </c>
      <c r="L7" t="inlineStr">
        <is>
          <t>DNA Lab</t>
        </is>
      </c>
      <c r="M7" t="inlineStr">
        <is>
          <t>N/A</t>
        </is>
      </c>
      <c r="Q7" t="inlineStr">
        <is>
          <t>DSP</t>
        </is>
      </c>
    </row>
    <row r="8">
      <c r="A8" t="inlineStr">
        <is>
          <t>Closed - Acquitted</t>
        </is>
      </c>
      <c r="C8" t="inlineStr">
        <is>
          <t>Trafficking of Narcotics</t>
        </is>
      </c>
      <c r="D8" t="inlineStr">
        <is>
          <t>Westmoreland</t>
        </is>
      </c>
      <c r="E8" t="inlineStr">
        <is>
          <t>Admin/HRM</t>
        </is>
      </c>
      <c r="F8" t="inlineStr">
        <is>
          <t>Walk-in</t>
        </is>
      </c>
      <c r="H8" t="inlineStr">
        <is>
          <t>Seizure Operation</t>
        </is>
      </c>
      <c r="K8" t="inlineStr">
        <is>
          <t>Electronic Device</t>
        </is>
      </c>
      <c r="L8" t="inlineStr">
        <is>
          <t>External Lab</t>
        </is>
      </c>
      <c r="Q8" t="inlineStr">
        <is>
          <t>SSP</t>
        </is>
      </c>
    </row>
    <row r="9">
      <c r="A9" t="inlineStr">
        <is>
          <t>Closed - Withdrawn</t>
        </is>
      </c>
      <c r="C9" t="inlineStr">
        <is>
          <t>Cultivation of Narcotics</t>
        </is>
      </c>
      <c r="D9" t="inlineStr">
        <is>
          <t>Hanover</t>
        </is>
      </c>
      <c r="E9" t="inlineStr">
        <is>
          <t>Training</t>
        </is>
      </c>
      <c r="F9" t="inlineStr">
        <is>
          <t>Other</t>
        </is>
      </c>
      <c r="H9" t="inlineStr">
        <is>
          <t>Joint Operation</t>
        </is>
      </c>
      <c r="K9" t="inlineStr">
        <is>
          <t>Document</t>
        </is>
      </c>
      <c r="Q9" t="inlineStr">
        <is>
          <t>ACP</t>
        </is>
      </c>
    </row>
    <row r="10">
      <c r="A10" t="inlineStr">
        <is>
          <t>Closed - No Further Action</t>
        </is>
      </c>
      <c r="C10" t="inlineStr">
        <is>
          <t>Distribution of Narcotics</t>
        </is>
      </c>
      <c r="D10" t="inlineStr">
        <is>
          <t>St. James</t>
        </is>
      </c>
      <c r="E10" t="inlineStr">
        <is>
          <t>Oversight</t>
        </is>
      </c>
      <c r="H10" t="inlineStr">
        <is>
          <t>FCSI Operation</t>
        </is>
      </c>
      <c r="K10" t="inlineStr">
        <is>
          <t>Vehicle</t>
        </is>
      </c>
      <c r="Q10" t="inlineStr">
        <is>
          <t>DCP</t>
        </is>
      </c>
    </row>
    <row r="11">
      <c r="A11" t="inlineStr">
        <is>
          <t>Cold Case</t>
        </is>
      </c>
      <c r="C11" t="inlineStr">
        <is>
          <t>Possession of Cocaine</t>
        </is>
      </c>
      <c r="D11" t="inlineStr">
        <is>
          <t>Trelawny</t>
        </is>
      </c>
      <c r="H11" t="inlineStr">
        <is>
          <t>Other</t>
        </is>
      </c>
      <c r="K11" t="inlineStr">
        <is>
          <t>Clothing</t>
        </is>
      </c>
      <c r="Q11" t="inlineStr">
        <is>
          <t>Commissioner</t>
        </is>
      </c>
    </row>
    <row r="12">
      <c r="C12" t="inlineStr">
        <is>
          <t>Possession of Cannabis</t>
        </is>
      </c>
      <c r="D12" t="inlineStr">
        <is>
          <t>St. Ann</t>
        </is>
      </c>
      <c r="K12" t="inlineStr">
        <is>
          <t>Biological Sample</t>
        </is>
      </c>
    </row>
    <row r="13">
      <c r="C13" t="inlineStr">
        <is>
          <t>Possession of Other Drug</t>
        </is>
      </c>
      <c r="D13" t="inlineStr">
        <is>
          <t>St. Mary</t>
        </is>
      </c>
      <c r="K13" t="inlineStr">
        <is>
          <t>Fingerprint</t>
        </is>
      </c>
    </row>
    <row r="14">
      <c r="C14" t="inlineStr">
        <is>
          <t>Larceny of Firearm</t>
        </is>
      </c>
      <c r="D14" t="inlineStr">
        <is>
          <t>Portland</t>
        </is>
      </c>
      <c r="K14" t="inlineStr">
        <is>
          <t>CCTV Footage</t>
        </is>
      </c>
    </row>
    <row r="15">
      <c r="C15" t="inlineStr">
        <is>
          <t>Wounding (Firearm)</t>
        </is>
      </c>
      <c r="D15" t="inlineStr">
        <is>
          <t>St. Thomas</t>
        </is>
      </c>
      <c r="K15" t="inlineStr">
        <is>
          <t>Ballistic Evidence</t>
        </is>
      </c>
    </row>
    <row r="16">
      <c r="C16" t="inlineStr">
        <is>
          <t>Conspiracy - Firearms</t>
        </is>
      </c>
      <c r="K16" t="inlineStr">
        <is>
          <t>Other Physical Evidence</t>
        </is>
      </c>
    </row>
    <row r="17">
      <c r="C17" t="inlineStr">
        <is>
          <t>Conspiracy - Narcotics</t>
        </is>
      </c>
    </row>
    <row r="18">
      <c r="C18" t="inlineStr">
        <is>
          <t>Importation of Firearm</t>
        </is>
      </c>
    </row>
    <row r="19">
      <c r="C19" t="inlineStr">
        <is>
          <t>Importation of Narcotics</t>
        </is>
      </c>
    </row>
    <row r="20">
      <c r="C20" t="inlineStr">
        <is>
          <t>Other Firearms Offence</t>
        </is>
      </c>
    </row>
    <row r="21">
      <c r="C21" t="inlineStr">
        <is>
          <t>Other Narcotics Offence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20" customWidth="1" min="3" max="3"/>
    <col width="16" customWidth="1" min="4" max="4"/>
    <col width="18" customWidth="1" min="5" max="5"/>
  </cols>
  <sheetData>
    <row r="1">
      <c r="A1" s="13" t="inlineStr">
        <is>
          <t>OffenceCode</t>
        </is>
      </c>
      <c r="B1" s="13" t="inlineStr">
        <is>
          <t>OffenceDescription</t>
        </is>
      </c>
      <c r="C1" s="13" t="inlineStr">
        <is>
          <t>Category</t>
        </is>
      </c>
      <c r="D1" s="13" t="inlineStr">
        <is>
          <t>FNID_Relevant</t>
        </is>
      </c>
      <c r="E1" s="13" t="inlineStr">
        <is>
          <t>AutoRouteToFNID</t>
        </is>
      </c>
    </row>
    <row r="2">
      <c r="A2" s="14" t="inlineStr">
        <is>
          <t>FC-001</t>
        </is>
      </c>
      <c r="B2" s="14" t="inlineStr">
        <is>
          <t>Illegal Possession of Firearm</t>
        </is>
      </c>
      <c r="C2" s="14" t="inlineStr">
        <is>
          <t>Firearms</t>
        </is>
      </c>
      <c r="D2" s="14" t="inlineStr">
        <is>
          <t>Yes</t>
        </is>
      </c>
      <c r="E2" s="14" t="inlineStr">
        <is>
          <t>Yes</t>
        </is>
      </c>
    </row>
    <row r="3">
      <c r="A3" s="14" t="inlineStr">
        <is>
          <t>FC-002</t>
        </is>
      </c>
      <c r="B3" s="14" t="inlineStr">
        <is>
          <t>Illegal Possession of Ammunition</t>
        </is>
      </c>
      <c r="C3" s="14" t="inlineStr">
        <is>
          <t>Firearms</t>
        </is>
      </c>
      <c r="D3" s="14" t="inlineStr">
        <is>
          <t>Yes</t>
        </is>
      </c>
      <c r="E3" s="14" t="inlineStr">
        <is>
          <t>Yes</t>
        </is>
      </c>
    </row>
    <row r="4">
      <c r="A4" s="14" t="inlineStr">
        <is>
          <t>FC-003</t>
        </is>
      </c>
      <c r="B4" s="14" t="inlineStr">
        <is>
          <t>Shooting with Intent</t>
        </is>
      </c>
      <c r="C4" s="14" t="inlineStr">
        <is>
          <t>Firearms</t>
        </is>
      </c>
      <c r="D4" s="14" t="inlineStr">
        <is>
          <t>Yes</t>
        </is>
      </c>
      <c r="E4" s="14" t="inlineStr">
        <is>
          <t>Yes</t>
        </is>
      </c>
    </row>
    <row r="5">
      <c r="A5" s="14" t="inlineStr">
        <is>
          <t>FC-004</t>
        </is>
      </c>
      <c r="B5" s="14" t="inlineStr">
        <is>
          <t>Murder (Firearm-related)</t>
        </is>
      </c>
      <c r="C5" s="14" t="inlineStr">
        <is>
          <t>Firearms</t>
        </is>
      </c>
      <c r="D5" s="14" t="inlineStr">
        <is>
          <t>Yes</t>
        </is>
      </c>
      <c r="E5" s="14" t="inlineStr">
        <is>
          <t>Yes</t>
        </is>
      </c>
    </row>
    <row r="6">
      <c r="A6" s="14" t="inlineStr">
        <is>
          <t>FC-005</t>
        </is>
      </c>
      <c r="B6" s="14" t="inlineStr">
        <is>
          <t>Robbery with Firearm</t>
        </is>
      </c>
      <c r="C6" s="14" t="inlineStr">
        <is>
          <t>Firearms</t>
        </is>
      </c>
      <c r="D6" s="14" t="inlineStr">
        <is>
          <t>Yes</t>
        </is>
      </c>
      <c r="E6" s="14" t="inlineStr">
        <is>
          <t>Yes</t>
        </is>
      </c>
    </row>
    <row r="7">
      <c r="A7" s="14" t="inlineStr">
        <is>
          <t>FC-006</t>
        </is>
      </c>
      <c r="B7" s="14" t="inlineStr">
        <is>
          <t>Wounding with Firearm</t>
        </is>
      </c>
      <c r="C7" s="14" t="inlineStr">
        <is>
          <t>Firearms</t>
        </is>
      </c>
      <c r="D7" s="14" t="inlineStr">
        <is>
          <t>Yes</t>
        </is>
      </c>
      <c r="E7" s="14" t="inlineStr">
        <is>
          <t>Yes</t>
        </is>
      </c>
    </row>
    <row r="8">
      <c r="A8" s="14" t="inlineStr">
        <is>
          <t>FC-007</t>
        </is>
      </c>
      <c r="B8" s="14" t="inlineStr">
        <is>
          <t>Larceny of Firearm</t>
        </is>
      </c>
      <c r="C8" s="14" t="inlineStr">
        <is>
          <t>Firearms</t>
        </is>
      </c>
      <c r="D8" s="14" t="inlineStr">
        <is>
          <t>Yes</t>
        </is>
      </c>
      <c r="E8" s="14" t="inlineStr">
        <is>
          <t>Yes</t>
        </is>
      </c>
    </row>
    <row r="9">
      <c r="A9" s="14" t="inlineStr">
        <is>
          <t>FC-008</t>
        </is>
      </c>
      <c r="B9" s="14" t="inlineStr">
        <is>
          <t>Conspiracy - Firearms</t>
        </is>
      </c>
      <c r="C9" s="14" t="inlineStr">
        <is>
          <t>Firearms</t>
        </is>
      </c>
      <c r="D9" s="14" t="inlineStr">
        <is>
          <t>Yes</t>
        </is>
      </c>
      <c r="E9" s="14" t="inlineStr">
        <is>
          <t>Yes</t>
        </is>
      </c>
    </row>
    <row r="10">
      <c r="A10" s="14" t="inlineStr">
        <is>
          <t>FC-009</t>
        </is>
      </c>
      <c r="B10" s="14" t="inlineStr">
        <is>
          <t>Importation of Firearm</t>
        </is>
      </c>
      <c r="C10" s="14" t="inlineStr">
        <is>
          <t>Firearms</t>
        </is>
      </c>
      <c r="D10" s="14" t="inlineStr">
        <is>
          <t>Yes</t>
        </is>
      </c>
      <c r="E10" s="14" t="inlineStr">
        <is>
          <t>Yes</t>
        </is>
      </c>
    </row>
    <row r="11">
      <c r="A11" s="14" t="inlineStr">
        <is>
          <t>NC-001</t>
        </is>
      </c>
      <c r="B11" s="14" t="inlineStr">
        <is>
          <t>Possession of Cannabis</t>
        </is>
      </c>
      <c r="C11" s="14" t="inlineStr">
        <is>
          <t>Narcotics</t>
        </is>
      </c>
      <c r="D11" s="14" t="inlineStr">
        <is>
          <t>Yes</t>
        </is>
      </c>
      <c r="E11" s="14" t="inlineStr">
        <is>
          <t>Yes</t>
        </is>
      </c>
    </row>
    <row r="12">
      <c r="A12" s="14" t="inlineStr">
        <is>
          <t>NC-002</t>
        </is>
      </c>
      <c r="B12" s="14" t="inlineStr">
        <is>
          <t>Possession of Cocaine</t>
        </is>
      </c>
      <c r="C12" s="14" t="inlineStr">
        <is>
          <t>Narcotics</t>
        </is>
      </c>
      <c r="D12" s="14" t="inlineStr">
        <is>
          <t>Yes</t>
        </is>
      </c>
      <c r="E12" s="14" t="inlineStr">
        <is>
          <t>Yes</t>
        </is>
      </c>
    </row>
    <row r="13">
      <c r="A13" s="14" t="inlineStr">
        <is>
          <t>NC-003</t>
        </is>
      </c>
      <c r="B13" s="14" t="inlineStr">
        <is>
          <t>Trafficking of Narcotics</t>
        </is>
      </c>
      <c r="C13" s="14" t="inlineStr">
        <is>
          <t>Narcotics</t>
        </is>
      </c>
      <c r="D13" s="14" t="inlineStr">
        <is>
          <t>Yes</t>
        </is>
      </c>
      <c r="E13" s="14" t="inlineStr">
        <is>
          <t>Yes</t>
        </is>
      </c>
    </row>
    <row r="14">
      <c r="A14" s="14" t="inlineStr">
        <is>
          <t>NC-004</t>
        </is>
      </c>
      <c r="B14" s="14" t="inlineStr">
        <is>
          <t>Cultivation of Narcotics</t>
        </is>
      </c>
      <c r="C14" s="14" t="inlineStr">
        <is>
          <t>Narcotics</t>
        </is>
      </c>
      <c r="D14" s="14" t="inlineStr">
        <is>
          <t>Yes</t>
        </is>
      </c>
      <c r="E14" s="14" t="inlineStr">
        <is>
          <t>Yes</t>
        </is>
      </c>
    </row>
    <row r="15">
      <c r="A15" s="14" t="inlineStr">
        <is>
          <t>NC-005</t>
        </is>
      </c>
      <c r="B15" s="14" t="inlineStr">
        <is>
          <t>Distribution of Narcotics</t>
        </is>
      </c>
      <c r="C15" s="14" t="inlineStr">
        <is>
          <t>Narcotics</t>
        </is>
      </c>
      <c r="D15" s="14" t="inlineStr">
        <is>
          <t>Yes</t>
        </is>
      </c>
      <c r="E15" s="14" t="inlineStr">
        <is>
          <t>Yes</t>
        </is>
      </c>
    </row>
    <row r="16">
      <c r="A16" s="14" t="inlineStr">
        <is>
          <t>NC-006</t>
        </is>
      </c>
      <c r="B16" s="14" t="inlineStr">
        <is>
          <t>Importation of Narcotics</t>
        </is>
      </c>
      <c r="C16" s="14" t="inlineStr">
        <is>
          <t>Narcotics</t>
        </is>
      </c>
      <c r="D16" s="14" t="inlineStr">
        <is>
          <t>Yes</t>
        </is>
      </c>
      <c r="E16" s="14" t="inlineStr">
        <is>
          <t>Yes</t>
        </is>
      </c>
    </row>
    <row r="17">
      <c r="A17" s="14" t="inlineStr">
        <is>
          <t>NC-007</t>
        </is>
      </c>
      <c r="B17" s="14" t="inlineStr">
        <is>
          <t>Conspiracy - Narcotics</t>
        </is>
      </c>
      <c r="C17" s="14" t="inlineStr">
        <is>
          <t>Narcotics</t>
        </is>
      </c>
      <c r="D17" s="14" t="inlineStr">
        <is>
          <t>Yes</t>
        </is>
      </c>
      <c r="E17" s="14" t="inlineStr">
        <is>
          <t>Yes</t>
        </is>
      </c>
    </row>
    <row r="18">
      <c r="A18" s="14" t="inlineStr">
        <is>
          <t>NC-008</t>
        </is>
      </c>
      <c r="B18" s="14" t="inlineStr">
        <is>
          <t>Possession of Other Drug</t>
        </is>
      </c>
      <c r="C18" s="14" t="inlineStr">
        <is>
          <t>Narcotics</t>
        </is>
      </c>
      <c r="D18" s="14" t="inlineStr">
        <is>
          <t>Yes</t>
        </is>
      </c>
      <c r="E18" s="14" t="inlineStr">
        <is>
          <t>Yes</t>
        </is>
      </c>
    </row>
    <row r="19">
      <c r="A19" s="14" t="inlineStr">
        <is>
          <t>OT-001</t>
        </is>
      </c>
      <c r="B19" s="14" t="inlineStr">
        <is>
          <t>Robbery (No Firearm)</t>
        </is>
      </c>
      <c r="C19" s="14" t="inlineStr">
        <is>
          <t>Other</t>
        </is>
      </c>
      <c r="D19" s="14" t="inlineStr">
        <is>
          <t>No</t>
        </is>
      </c>
      <c r="E19" s="14" t="inlineStr">
        <is>
          <t>No</t>
        </is>
      </c>
    </row>
    <row r="20">
      <c r="A20" s="14" t="inlineStr">
        <is>
          <t>OT-002</t>
        </is>
      </c>
      <c r="B20" s="14" t="inlineStr">
        <is>
          <t>Burglary</t>
        </is>
      </c>
      <c r="C20" s="14" t="inlineStr">
        <is>
          <t>Other</t>
        </is>
      </c>
      <c r="D20" s="14" t="inlineStr">
        <is>
          <t>No</t>
        </is>
      </c>
      <c r="E20" s="14" t="inlineStr">
        <is>
          <t>No</t>
        </is>
      </c>
    </row>
    <row r="21">
      <c r="A21" s="14" t="inlineStr">
        <is>
          <t>OT-003</t>
        </is>
      </c>
      <c r="B21" s="14" t="inlineStr">
        <is>
          <t>Assault (Non-Firearm)</t>
        </is>
      </c>
      <c r="C21" s="14" t="inlineStr">
        <is>
          <t>Other</t>
        </is>
      </c>
      <c r="D21" s="14" t="inlineStr">
        <is>
          <t>No</t>
        </is>
      </c>
      <c r="E21" s="14" t="inlineStr">
        <is>
          <t>No</t>
        </is>
      </c>
    </row>
    <row r="22">
      <c r="A22" s="14" t="inlineStr">
        <is>
          <t>OT-004</t>
        </is>
      </c>
      <c r="B22" s="14" t="inlineStr">
        <is>
          <t>Fraud</t>
        </is>
      </c>
      <c r="C22" s="14" t="inlineStr">
        <is>
          <t>Other</t>
        </is>
      </c>
      <c r="D22" s="14" t="inlineStr">
        <is>
          <t>No</t>
        </is>
      </c>
      <c r="E22" s="14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22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RecommendedForensicAgency</t>
        </is>
      </c>
      <c r="C1" s="13" t="inlineStr">
        <is>
          <t>TestType</t>
        </is>
      </c>
      <c r="D1" s="13" t="inlineStr">
        <is>
          <t>ExpectedTurnaround_Days</t>
        </is>
      </c>
      <c r="E1" s="13" t="inlineStr">
        <is>
          <t>Notes</t>
        </is>
      </c>
    </row>
    <row r="2">
      <c r="A2" s="14" t="inlineStr">
        <is>
          <t>Firearm</t>
        </is>
      </c>
      <c r="B2" s="14" t="inlineStr">
        <is>
          <t>Ballistics Unit</t>
        </is>
      </c>
      <c r="C2" s="14" t="inlineStr">
        <is>
          <t>Ballistic Comparison</t>
        </is>
      </c>
      <c r="D2" s="14" t="n">
        <v>30</v>
      </c>
      <c r="E2" s="14" t="inlineStr">
        <is>
          <t>Serial number trace included</t>
        </is>
      </c>
    </row>
    <row r="3">
      <c r="A3" s="14" t="inlineStr">
        <is>
          <t>Ammunition</t>
        </is>
      </c>
      <c r="B3" s="14" t="inlineStr">
        <is>
          <t>Ballistics Unit</t>
        </is>
      </c>
      <c r="C3" s="14" t="inlineStr">
        <is>
          <t>Cartridge/Projectile Analysis</t>
        </is>
      </c>
      <c r="D3" s="14" t="n">
        <v>21</v>
      </c>
      <c r="E3" s="14" t="inlineStr">
        <is>
          <t>Match to firearm</t>
        </is>
      </c>
    </row>
    <row r="4">
      <c r="A4" s="14" t="inlineStr">
        <is>
          <t>Narcotics - Cannabis</t>
        </is>
      </c>
      <c r="B4" s="14" t="inlineStr">
        <is>
          <t>Chemistry Division</t>
        </is>
      </c>
      <c r="C4" s="14" t="inlineStr">
        <is>
          <t>Substance Identification</t>
        </is>
      </c>
      <c r="D4" s="14" t="n">
        <v>14</v>
      </c>
      <c r="E4" s="14" t="inlineStr">
        <is>
          <t>Weight &amp; purity</t>
        </is>
      </c>
    </row>
    <row r="5">
      <c r="A5" s="14" t="inlineStr">
        <is>
          <t>Narcotics - Cocaine</t>
        </is>
      </c>
      <c r="B5" s="14" t="inlineStr">
        <is>
          <t>Chemistry Division</t>
        </is>
      </c>
      <c r="C5" s="14" t="inlineStr">
        <is>
          <t>Substance Identification</t>
        </is>
      </c>
      <c r="D5" s="14" t="n">
        <v>14</v>
      </c>
      <c r="E5" s="14" t="inlineStr">
        <is>
          <t>Weight &amp; purity</t>
        </is>
      </c>
    </row>
    <row r="6">
      <c r="A6" s="14" t="inlineStr">
        <is>
          <t>Narcotics - Other</t>
        </is>
      </c>
      <c r="B6" s="14" t="inlineStr">
        <is>
          <t>Chemistry Division</t>
        </is>
      </c>
      <c r="C6" s="14" t="inlineStr">
        <is>
          <t>Substance Identification</t>
        </is>
      </c>
      <c r="D6" s="14" t="n">
        <v>21</v>
      </c>
      <c r="E6" s="14" t="inlineStr">
        <is>
          <t>Compound analysis</t>
        </is>
      </c>
    </row>
    <row r="7">
      <c r="A7" s="14" t="inlineStr">
        <is>
          <t>Fingerprint</t>
        </is>
      </c>
      <c r="B7" s="14" t="inlineStr">
        <is>
          <t>Fingerprint Bureau</t>
        </is>
      </c>
      <c r="C7" s="14" t="inlineStr">
        <is>
          <t>AFIS Comparison</t>
        </is>
      </c>
      <c r="D7" s="14" t="n">
        <v>14</v>
      </c>
      <c r="E7" s="14" t="inlineStr">
        <is>
          <t>Latent print processing</t>
        </is>
      </c>
    </row>
    <row r="8">
      <c r="A8" s="14" t="inlineStr">
        <is>
          <t>Biological Sample</t>
        </is>
      </c>
      <c r="B8" s="14" t="inlineStr">
        <is>
          <t>DNA Lab</t>
        </is>
      </c>
      <c r="C8" s="14" t="inlineStr">
        <is>
          <t>DNA Profiling</t>
        </is>
      </c>
      <c r="D8" s="14" t="n">
        <v>45</v>
      </c>
      <c r="E8" s="14" t="inlineStr">
        <is>
          <t>CODIS check</t>
        </is>
      </c>
    </row>
    <row r="9">
      <c r="A9" s="14" t="inlineStr">
        <is>
          <t>Electronic Device</t>
        </is>
      </c>
      <c r="B9" s="14" t="inlineStr">
        <is>
          <t>Cyber Forensics Unit</t>
        </is>
      </c>
      <c r="C9" s="14" t="inlineStr">
        <is>
          <t>Data Extraction</t>
        </is>
      </c>
      <c r="D9" s="14" t="n">
        <v>30</v>
      </c>
      <c r="E9" s="14" t="inlineStr">
        <is>
          <t>Mobile/computer forensics</t>
        </is>
      </c>
    </row>
    <row r="10">
      <c r="A10" s="14" t="inlineStr">
        <is>
          <t>CCTV Footage</t>
        </is>
      </c>
      <c r="B10" s="14" t="inlineStr">
        <is>
          <t>Cyber Forensics Unit</t>
        </is>
      </c>
      <c r="C10" s="14" t="inlineStr">
        <is>
          <t>Video Enhancement</t>
        </is>
      </c>
      <c r="D10" s="14" t="n">
        <v>14</v>
      </c>
      <c r="E10" s="14" t="inlineStr">
        <is>
          <t>Frame analysis</t>
        </is>
      </c>
    </row>
    <row r="11">
      <c r="A11" s="14" t="inlineStr">
        <is>
          <t>Ballistic Evidence</t>
        </is>
      </c>
      <c r="B11" s="14" t="inlineStr">
        <is>
          <t>Ballistics Unit</t>
        </is>
      </c>
      <c r="C11" s="14" t="inlineStr">
        <is>
          <t>Trajectory/Residue Analysis</t>
        </is>
      </c>
      <c r="D11" s="14" t="n">
        <v>21</v>
      </c>
      <c r="E11" s="14" t="inlineStr">
        <is>
          <t>GSR included</t>
        </is>
      </c>
    </row>
    <row r="12">
      <c r="A12" s="14" t="inlineStr">
        <is>
          <t>Document</t>
        </is>
      </c>
      <c r="B12" s="14" t="inlineStr">
        <is>
          <t>Government Forensic Lab</t>
        </is>
      </c>
      <c r="C12" s="14" t="inlineStr">
        <is>
          <t>Document Examination</t>
        </is>
      </c>
      <c r="D12" s="14" t="n">
        <v>21</v>
      </c>
      <c r="E12" s="14" t="inlineStr">
        <is>
          <t>Handwriting/forgery</t>
        </is>
      </c>
    </row>
    <row r="13">
      <c r="A13" s="14" t="inlineStr">
        <is>
          <t>Cash/Currency</t>
        </is>
      </c>
      <c r="B13" s="14" t="inlineStr">
        <is>
          <t>Government Forensic Lab</t>
        </is>
      </c>
      <c r="C13" s="14" t="inlineStr">
        <is>
          <t>Trace Analysis</t>
        </is>
      </c>
      <c r="D13" s="14" t="n">
        <v>14</v>
      </c>
      <c r="E13" s="14" t="inlineStr">
        <is>
          <t>Drug trace detection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  <col width="24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EvidentialUse</t>
        </is>
      </c>
      <c r="C1" s="13" t="inlineStr">
        <is>
          <t>CaseElement_Supported</t>
        </is>
      </c>
      <c r="D1" s="13" t="inlineStr">
        <is>
          <t>LegalRequirement</t>
        </is>
      </c>
      <c r="E1" s="13" t="inlineStr">
        <is>
          <t>Notes</t>
        </is>
      </c>
    </row>
    <row r="2">
      <c r="A2" s="15" t="inlineStr">
        <is>
          <t>Firearm</t>
        </is>
      </c>
      <c r="B2" s="15" t="inlineStr">
        <is>
          <t>Proves possession / links to crime</t>
        </is>
      </c>
      <c r="C2" s="15" t="inlineStr">
        <is>
          <t>Actus Reus - Weapon</t>
        </is>
      </c>
      <c r="D2" s="15" t="inlineStr">
        <is>
          <t>Firearms Act</t>
        </is>
      </c>
      <c r="E2" s="15" t="inlineStr">
        <is>
          <t>Chain of custody critical</t>
        </is>
      </c>
    </row>
    <row r="3">
      <c r="A3" s="15" t="inlineStr">
        <is>
          <t>Ammunition</t>
        </is>
      </c>
      <c r="B3" s="15" t="inlineStr">
        <is>
          <t>Corroborates firearm possession</t>
        </is>
      </c>
      <c r="C3" s="15" t="inlineStr">
        <is>
          <t>Actus Reus - Ammunition</t>
        </is>
      </c>
      <c r="D3" s="15" t="inlineStr">
        <is>
          <t>Firearms Act</t>
        </is>
      </c>
      <c r="E3" s="15" t="inlineStr">
        <is>
          <t>Match to firearm if possible</t>
        </is>
      </c>
    </row>
    <row r="4">
      <c r="A4" s="15" t="inlineStr">
        <is>
          <t>Narcotics - Cannabis</t>
        </is>
      </c>
      <c r="B4" s="15" t="inlineStr">
        <is>
          <t>Proves possession / quantity</t>
        </is>
      </c>
      <c r="C4" s="15" t="inlineStr">
        <is>
          <t>Actus Reus - Substance</t>
        </is>
      </c>
      <c r="D4" s="15" t="inlineStr">
        <is>
          <t>Dangerous Drugs Act</t>
        </is>
      </c>
      <c r="E4" s="15" t="inlineStr">
        <is>
          <t>Certified weight required</t>
        </is>
      </c>
    </row>
    <row r="5">
      <c r="A5" s="15" t="inlineStr">
        <is>
          <t>Narcotics - Cocaine</t>
        </is>
      </c>
      <c r="B5" s="15" t="inlineStr">
        <is>
          <t>Proves possession / quantity</t>
        </is>
      </c>
      <c r="C5" s="15" t="inlineStr">
        <is>
          <t>Actus Reus - Substance</t>
        </is>
      </c>
      <c r="D5" s="15" t="inlineStr">
        <is>
          <t>Dangerous Drugs Act</t>
        </is>
      </c>
      <c r="E5" s="15" t="inlineStr">
        <is>
          <t>Purity analysis for trafficking</t>
        </is>
      </c>
    </row>
    <row r="6">
      <c r="A6" s="15" t="inlineStr">
        <is>
          <t>Fingerprint</t>
        </is>
      </c>
      <c r="B6" s="15" t="inlineStr">
        <is>
          <t>Links suspect to scene/item</t>
        </is>
      </c>
      <c r="C6" s="15" t="inlineStr">
        <is>
          <t>Identity</t>
        </is>
      </c>
      <c r="D6" s="15" t="inlineStr">
        <is>
          <t>Evidence Act</t>
        </is>
      </c>
      <c r="E6" s="15" t="inlineStr">
        <is>
          <t>AFIS hit + expert testimony</t>
        </is>
      </c>
    </row>
    <row r="7">
      <c r="A7" s="15" t="inlineStr">
        <is>
          <t>Biological Sample</t>
        </is>
      </c>
      <c r="B7" s="15" t="inlineStr">
        <is>
          <t>Links suspect via DNA</t>
        </is>
      </c>
      <c r="C7" s="15" t="inlineStr">
        <is>
          <t>Identity</t>
        </is>
      </c>
      <c r="D7" s="15" t="inlineStr">
        <is>
          <t>Evidence Act</t>
        </is>
      </c>
      <c r="E7" s="15" t="inlineStr">
        <is>
          <t>DNA profile match</t>
        </is>
      </c>
    </row>
    <row r="8">
      <c r="A8" s="15" t="inlineStr">
        <is>
          <t>Electronic Device</t>
        </is>
      </c>
      <c r="B8" s="15" t="inlineStr">
        <is>
          <t>Communications / planning evidence</t>
        </is>
      </c>
      <c r="C8" s="15" t="inlineStr">
        <is>
          <t>Mens Rea / Conspiracy</t>
        </is>
      </c>
      <c r="D8" s="15" t="inlineStr">
        <is>
          <t>Cybercrimes Act</t>
        </is>
      </c>
      <c r="E8" s="15" t="inlineStr">
        <is>
          <t>Extraction report as exhibit</t>
        </is>
      </c>
    </row>
    <row r="9">
      <c r="A9" s="15" t="inlineStr">
        <is>
          <t>CCTV Footage</t>
        </is>
      </c>
      <c r="B9" s="15" t="inlineStr">
        <is>
          <t>Visual identification / timeline</t>
        </is>
      </c>
      <c r="C9" s="15" t="inlineStr">
        <is>
          <t>Identity / Timeline</t>
        </is>
      </c>
      <c r="D9" s="15" t="inlineStr">
        <is>
          <t>Evidence Act</t>
        </is>
      </c>
      <c r="E9" s="15" t="inlineStr">
        <is>
          <t>Authentication certificate</t>
        </is>
      </c>
    </row>
    <row r="10">
      <c r="A10" s="15" t="inlineStr">
        <is>
          <t>Ballistic Evidence</t>
        </is>
      </c>
      <c r="B10" s="15" t="inlineStr">
        <is>
          <t>Links firearm to shooting</t>
        </is>
      </c>
      <c r="C10" s="15" t="inlineStr">
        <is>
          <t>Actus Reus - Weapon Use</t>
        </is>
      </c>
      <c r="D10" s="15" t="inlineStr">
        <is>
          <t>Firearms Act</t>
        </is>
      </c>
      <c r="E10" s="15" t="inlineStr">
        <is>
          <t>Expert ballistic report</t>
        </is>
      </c>
    </row>
    <row r="11">
      <c r="A11" s="15" t="inlineStr">
        <is>
          <t>Cash/Currency</t>
        </is>
      </c>
      <c r="B11" s="15" t="inlineStr">
        <is>
          <t>Proceeds of crime</t>
        </is>
      </c>
      <c r="C11" s="15" t="inlineStr">
        <is>
          <t>Proceeds</t>
        </is>
      </c>
      <c r="D11" s="15" t="inlineStr">
        <is>
          <t>Proceeds of Crime Act</t>
        </is>
      </c>
      <c r="E11" s="15" t="inlineStr">
        <is>
          <t>Amount + trace evidence</t>
        </is>
      </c>
    </row>
    <row r="12">
      <c r="A12" s="15" t="inlineStr">
        <is>
          <t>Document</t>
        </is>
      </c>
      <c r="B12" s="15" t="inlineStr">
        <is>
          <t>Forged / planning documents</t>
        </is>
      </c>
      <c r="C12" s="15" t="inlineStr">
        <is>
          <t>Mens Rea / Identity</t>
        </is>
      </c>
      <c r="D12" s="15" t="inlineStr">
        <is>
          <t>Forgery Act</t>
        </is>
      </c>
      <c r="E12" s="15" t="inlineStr">
        <is>
          <t>Expert document report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H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4" customWidth="1" min="6" max="6"/>
    <col width="30" customWidth="1" min="7" max="7"/>
    <col width="16" customWidth="1" min="8" max="8"/>
    <col width="16" customWidth="1" min="9" max="9"/>
    <col width="20" customWidth="1" min="10" max="10"/>
    <col width="20" customWidth="1" min="11" max="11"/>
    <col width="20" customWidth="1" min="12" max="12"/>
    <col width="16" customWidth="1" min="13" max="13"/>
    <col width="12" customWidth="1" min="14" max="14"/>
    <col width="18" customWidth="1" min="15" max="15"/>
    <col width="20" customWidth="1" min="16" max="16"/>
    <col width="14" customWidth="1" min="17" max="17"/>
    <col width="14" customWidth="1" min="18" max="18"/>
    <col width="16" customWidth="1" min="19" max="19"/>
    <col width="14" customWidth="1" min="20" max="20"/>
    <col width="14" customWidth="1" min="21" max="21"/>
    <col width="14" customWidth="1" min="22" max="22"/>
    <col width="12" customWidth="1" min="23" max="23"/>
    <col width="14" customWidth="1" min="24" max="24"/>
    <col width="14" customWidth="1" min="25" max="25"/>
    <col width="30" customWidth="1" min="26" max="26"/>
    <col width="14" customWidth="1" min="27" max="27"/>
    <col width="14" customWidth="1" min="28" max="28"/>
    <col width="14" customWidth="1" min="29" max="29"/>
    <col width="14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13" t="inlineStr">
        <is>
          <t>CaseID</t>
        </is>
      </c>
      <c r="B1" s="13" t="inlineStr">
        <is>
          <t>CR1_Number</t>
        </is>
      </c>
      <c r="C1" s="13" t="inlineStr">
        <is>
          <t>CR2_Number</t>
        </is>
      </c>
      <c r="D1" s="13" t="inlineStr">
        <is>
          <t>CR5_Number</t>
        </is>
      </c>
      <c r="E1" s="13" t="inlineStr">
        <is>
          <t>DateReceived</t>
        </is>
      </c>
      <c r="F1" s="13" t="inlineStr">
        <is>
          <t>OffenceType</t>
        </is>
      </c>
      <c r="G1" s="13" t="inlineStr">
        <is>
          <t>OffenceDescription</t>
        </is>
      </c>
      <c r="H1" s="13" t="inlineStr">
        <is>
          <t>Parish</t>
        </is>
      </c>
      <c r="I1" s="13" t="inlineStr">
        <is>
          <t>Station</t>
        </is>
      </c>
      <c r="J1" s="13" t="inlineStr">
        <is>
          <t>Complainant</t>
        </is>
      </c>
      <c r="K1" s="13" t="inlineStr">
        <is>
          <t>Suspect</t>
        </is>
      </c>
      <c r="L1" s="13" t="inlineStr">
        <is>
          <t>InvestigatorAssigned</t>
        </is>
      </c>
      <c r="M1" s="13" t="inlineStr">
        <is>
          <t>Unit</t>
        </is>
      </c>
      <c r="N1" s="13" t="inlineStr">
        <is>
          <t>Priority</t>
        </is>
      </c>
      <c r="O1" s="13" t="inlineStr">
        <is>
          <t>CaseStatus</t>
        </is>
      </c>
      <c r="P1" s="13" t="inlineStr">
        <is>
          <t>SupervisorReview</t>
        </is>
      </c>
      <c r="Q1" s="13" t="inlineStr">
        <is>
          <t>ReviewDate</t>
        </is>
      </c>
      <c r="R1" s="13" t="inlineStr">
        <is>
          <t>NextActionDue</t>
        </is>
      </c>
      <c r="S1" s="13" t="inlineStr">
        <is>
          <t>ComplianceFlag</t>
        </is>
      </c>
      <c r="T1" s="13" t="inlineStr">
        <is>
          <t>CR1_Compliant</t>
        </is>
      </c>
      <c r="U1" s="13" t="inlineStr">
        <is>
          <t>CR2_Compliant</t>
        </is>
      </c>
      <c r="V1" s="13" t="inlineStr">
        <is>
          <t>CR5_Compliant</t>
        </is>
      </c>
      <c r="W1" s="13" t="inlineStr">
        <is>
          <t>FCSI_Flag</t>
        </is>
      </c>
      <c r="X1" s="13" t="inlineStr">
        <is>
          <t>LinkedLeadID</t>
        </is>
      </c>
      <c r="Y1" s="13" t="inlineStr">
        <is>
          <t>LinkedOpsID</t>
        </is>
      </c>
      <c r="Z1" s="13" t="inlineStr">
        <is>
          <t>Notes</t>
        </is>
      </c>
      <c r="AA1" s="13" t="inlineStr">
        <is>
          <t>CreatedBy</t>
        </is>
      </c>
      <c r="AB1" s="13" t="inlineStr">
        <is>
          <t>CreatedDate</t>
        </is>
      </c>
      <c r="AC1" s="13" t="inlineStr">
        <is>
          <t>LastUpdatedBy</t>
        </is>
      </c>
      <c r="AD1" s="13" t="inlineStr">
        <is>
          <t>LastUpdatedDate</t>
        </is>
      </c>
      <c r="AE1" s="13" t="inlineStr">
        <is>
          <t>Week</t>
        </is>
      </c>
      <c r="AF1" s="13" t="inlineStr">
        <is>
          <t>Month</t>
        </is>
      </c>
      <c r="AG1" s="13" t="inlineStr">
        <is>
          <t>Quarter</t>
        </is>
      </c>
      <c r="AH1" s="13" t="inlineStr">
        <is>
          <t>Year</t>
        </is>
      </c>
    </row>
    <row r="2">
      <c r="A2" s="14">
        <f>IF(B2="","","CASE-"&amp;TEXT(ROW()-1,"0000"))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>
        <f>IF(AND(T2="Yes",U2="Yes",V2="Yes"),"Compliant","Non-Compliant")</f>
        <v/>
      </c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>
        <f>IF(E2="","",WEEKNUM(E2))</f>
        <v/>
      </c>
      <c r="AF2" s="14">
        <f>IF(E2="","",MONTH(E2))</f>
        <v/>
      </c>
      <c r="AG2" s="14">
        <f>IF(E2="","",ROUNDUP(MONTH(E2)/3,0))</f>
        <v/>
      </c>
      <c r="AH2" s="14">
        <f>IF(E2="","",YEAR(E2))</f>
        <v/>
      </c>
    </row>
    <row r="3">
      <c r="A3" s="14">
        <f>IF(B3="","","CASE-"&amp;TEXT(ROW()-1,"0000"))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>
        <f>IF(AND(T3="Yes",U3="Yes",V3="Yes"),"Compliant","Non-Compliant")</f>
        <v/>
      </c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>
        <f>IF(E3="","",WEEKNUM(E3))</f>
        <v/>
      </c>
      <c r="AF3" s="14">
        <f>IF(E3="","",MONTH(E3))</f>
        <v/>
      </c>
      <c r="AG3" s="14">
        <f>IF(E3="","",ROUNDUP(MONTH(E3)/3,0))</f>
        <v/>
      </c>
      <c r="AH3" s="14">
        <f>IF(E3="","",YEAR(E3))</f>
        <v/>
      </c>
    </row>
    <row r="4">
      <c r="A4" s="14">
        <f>IF(B4="","","CASE-"&amp;TEXT(ROW()-1,"0000"))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>
        <f>IF(AND(T4="Yes",U4="Yes",V4="Yes"),"Compliant","Non-Compliant")</f>
        <v/>
      </c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>
        <f>IF(E4="","",WEEKNUM(E4))</f>
        <v/>
      </c>
      <c r="AF4" s="14">
        <f>IF(E4="","",MONTH(E4))</f>
        <v/>
      </c>
      <c r="AG4" s="14">
        <f>IF(E4="","",ROUNDUP(MONTH(E4)/3,0))</f>
        <v/>
      </c>
      <c r="AH4" s="14">
        <f>IF(E4="","",YEAR(E4))</f>
        <v/>
      </c>
    </row>
    <row r="5">
      <c r="A5" s="14">
        <f>IF(B5="","","CASE-"&amp;TEXT(ROW()-1,"0000"))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>
        <f>IF(AND(T5="Yes",U5="Yes",V5="Yes"),"Compliant","Non-Compliant")</f>
        <v/>
      </c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>
        <f>IF(E5="","",WEEKNUM(E5))</f>
        <v/>
      </c>
      <c r="AF5" s="14">
        <f>IF(E5="","",MONTH(E5))</f>
        <v/>
      </c>
      <c r="AG5" s="14">
        <f>IF(E5="","",ROUNDUP(MONTH(E5)/3,0))</f>
        <v/>
      </c>
      <c r="AH5" s="14">
        <f>IF(E5="","",YEAR(E5))</f>
        <v/>
      </c>
    </row>
    <row r="6">
      <c r="A6" s="14">
        <f>IF(B6="","","CASE-"&amp;TEXT(ROW()-1,"0000"))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>
        <f>IF(AND(T6="Yes",U6="Yes",V6="Yes"),"Compliant","Non-Compliant")</f>
        <v/>
      </c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>
        <f>IF(E6="","",WEEKNUM(E6))</f>
        <v/>
      </c>
      <c r="AF6" s="14">
        <f>IF(E6="","",MONTH(E6))</f>
        <v/>
      </c>
      <c r="AG6" s="14">
        <f>IF(E6="","",ROUNDUP(MONTH(E6)/3,0))</f>
        <v/>
      </c>
      <c r="AH6" s="14">
        <f>IF(E6="","",YEAR(E6))</f>
        <v/>
      </c>
    </row>
  </sheetData>
  <conditionalFormatting sqref="R2:R1000">
    <cfRule type="expression" priority="1" dxfId="0">
      <formula>=AND(R2&lt;&gt;"",R2&lt;TODAY())</formula>
    </cfRule>
  </conditionalFormatting>
  <dataValidations count="9">
    <dataValidation sqref="F2:F1000" showDropDown="0" showInputMessage="0" showErrorMessage="0" allowBlank="1" errorTitle="Invalid Entry" error="Please select from the list." type="list">
      <formula1>=Lookups!$C$2:$C$22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=Lookups!$E$2:$E$11</formula1>
    </dataValidation>
    <dataValidation sqref="N2:N1000" showDropDown="0" showInputMessage="0" showErrorMessage="0" allowBlank="1" errorTitle="Invalid Entry" error="Please select from the list." type="list">
      <formula1>=Lookups!$B$2:$B$6</formula1>
    </dataValidation>
    <dataValidation sqref="O2:O1000" showDropDown="0" showInputMessage="0" showErrorMessage="0" allowBlank="1" errorTitle="Invalid Entry" error="Please select from the list." type="list">
      <formula1>=Lookups!$A$2:$A$12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2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13" t="inlineStr">
        <is>
          <t>ActionID</t>
        </is>
      </c>
      <c r="B1" s="13" t="inlineStr">
        <is>
          <t>CaseID</t>
        </is>
      </c>
      <c r="C1" s="13" t="inlineStr">
        <is>
          <t>ActionType</t>
        </is>
      </c>
      <c r="D1" s="13" t="inlineStr">
        <is>
          <t>Description</t>
        </is>
      </c>
      <c r="E1" s="13" t="inlineStr">
        <is>
          <t>AssignedTo</t>
        </is>
      </c>
      <c r="F1" s="13" t="inlineStr">
        <is>
          <t>Unit</t>
        </is>
      </c>
      <c r="G1" s="13" t="inlineStr">
        <is>
          <t>DueDate</t>
        </is>
      </c>
      <c r="H1" s="13" t="inlineStr">
        <is>
          <t>CompletedDate</t>
        </is>
      </c>
      <c r="I1" s="13" t="inlineStr">
        <is>
          <t>Status</t>
        </is>
      </c>
      <c r="J1" s="13" t="inlineStr">
        <is>
          <t>Priority</t>
        </is>
      </c>
      <c r="K1" s="13" t="inlineStr">
        <is>
          <t>Outcome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  <c r="Q1" s="13" t="inlineStr">
        <is>
          <t>Week</t>
        </is>
      </c>
      <c r="R1" s="13" t="inlineStr">
        <is>
          <t>Month</t>
        </is>
      </c>
      <c r="S1" s="13" t="inlineStr">
        <is>
          <t>Quarter</t>
        </is>
      </c>
      <c r="T1" s="13" t="inlineStr">
        <is>
          <t>Year</t>
        </is>
      </c>
    </row>
    <row r="2">
      <c r="A2" s="14">
        <f>IF(B2="","","ACT-"&amp;TEXT(ROW()-1,"0000"))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>
        <f>IF(G2="","",WEEKNUM(G2))</f>
        <v/>
      </c>
      <c r="R2" s="14">
        <f>IF(G2="","",MONTH(G2))</f>
        <v/>
      </c>
      <c r="S2" s="14">
        <f>IF(G2="","",ROUNDUP(MONTH(G2)/3,0))</f>
        <v/>
      </c>
      <c r="T2" s="14">
        <f>IF(G2="","",YEAR(G2))</f>
        <v/>
      </c>
    </row>
    <row r="3">
      <c r="A3" s="14">
        <f>IF(B3="","","ACT-"&amp;TEXT(ROW()-1,"0000"))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>
        <f>IF(G3="","",WEEKNUM(G3))</f>
        <v/>
      </c>
      <c r="R3" s="14">
        <f>IF(G3="","",MONTH(G3))</f>
        <v/>
      </c>
      <c r="S3" s="14">
        <f>IF(G3="","",ROUNDUP(MONTH(G3)/3,0))</f>
        <v/>
      </c>
      <c r="T3" s="14">
        <f>IF(G3="","",YEAR(G3))</f>
        <v/>
      </c>
    </row>
    <row r="4">
      <c r="A4" s="14">
        <f>IF(B4="","","ACT-"&amp;TEXT(ROW()-1,"0000"))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>
        <f>IF(G4="","",WEEKNUM(G4))</f>
        <v/>
      </c>
      <c r="R4" s="14">
        <f>IF(G4="","",MONTH(G4))</f>
        <v/>
      </c>
      <c r="S4" s="14">
        <f>IF(G4="","",ROUNDUP(MONTH(G4)/3,0))</f>
        <v/>
      </c>
      <c r="T4" s="14">
        <f>IF(G4="","",YEAR(G4))</f>
        <v/>
      </c>
    </row>
    <row r="5">
      <c r="A5" s="14">
        <f>IF(B5="","","ACT-"&amp;TEXT(ROW()-1,"0000"))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>
        <f>IF(G5="","",WEEKNUM(G5))</f>
        <v/>
      </c>
      <c r="R5" s="14">
        <f>IF(G5="","",MONTH(G5))</f>
        <v/>
      </c>
      <c r="S5" s="14">
        <f>IF(G5="","",ROUNDUP(MONTH(G5)/3,0))</f>
        <v/>
      </c>
      <c r="T5" s="14">
        <f>IF(G5="","",YEAR(G5))</f>
        <v/>
      </c>
    </row>
    <row r="6">
      <c r="A6" s="14">
        <f>IF(B6="","","ACT-"&amp;TEXT(ROW()-1,"0000"))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>
        <f>IF(G6="","",WEEKNUM(G6))</f>
        <v/>
      </c>
      <c r="R6" s="14">
        <f>IF(G6="","",MONTH(G6))</f>
        <v/>
      </c>
      <c r="S6" s="14">
        <f>IF(G6="","",ROUNDUP(MONTH(G6)/3,0))</f>
        <v/>
      </c>
      <c r="T6" s="14">
        <f>IF(G6="","",YEAR(G6))</f>
        <v/>
      </c>
    </row>
  </sheetData>
  <conditionalFormatting sqref="G2:G1000">
    <cfRule type="expression" priority="1" dxfId="0">
      <formula>=AND(G2&lt;&gt;"",G2&lt;TODAY(),H2="")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4" customWidth="1" min="5" max="5"/>
    <col width="14" customWidth="1" min="6" max="6"/>
    <col width="30" customWidth="1" min="7" max="7"/>
    <col width="30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3" t="inlineStr">
        <is>
          <t>ReviewID</t>
        </is>
      </c>
      <c r="B1" s="13" t="inlineStr">
        <is>
          <t>CaseID</t>
        </is>
      </c>
      <c r="C1" s="13" t="inlineStr">
        <is>
          <t>ReviewType</t>
        </is>
      </c>
      <c r="D1" s="13" t="inlineStr">
        <is>
          <t>Reviewer</t>
        </is>
      </c>
      <c r="E1" s="13" t="inlineStr">
        <is>
          <t>ReviewDate</t>
        </is>
      </c>
      <c r="F1" s="13" t="inlineStr">
        <is>
          <t>DueDate</t>
        </is>
      </c>
      <c r="G1" s="13" t="inlineStr">
        <is>
          <t>Findings</t>
        </is>
      </c>
      <c r="H1" s="13" t="inlineStr">
        <is>
          <t>Recommendations</t>
        </is>
      </c>
      <c r="I1" s="13" t="inlineStr">
        <is>
          <t>Status</t>
        </is>
      </c>
      <c r="J1" s="13" t="inlineStr">
        <is>
          <t>ComplianceStatus</t>
        </is>
      </c>
      <c r="K1" s="13" t="inlineStr">
        <is>
          <t>CreatedBy</t>
        </is>
      </c>
      <c r="L1" s="13" t="inlineStr">
        <is>
          <t>CreatedDate</t>
        </is>
      </c>
      <c r="M1" s="13" t="inlineStr">
        <is>
          <t>LastUpdatedBy</t>
        </is>
      </c>
      <c r="N1" s="13" t="inlineStr">
        <is>
          <t>LastUpdatedDate</t>
        </is>
      </c>
    </row>
    <row r="2">
      <c r="A2" s="14">
        <f>IF(B2="","","REV-"&amp;TEXT(ROW()-1,"0000"))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</row>
    <row r="3">
      <c r="A3" s="14">
        <f>IF(B3="","","REV-"&amp;TEXT(ROW()-1,"0000"))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</row>
    <row r="4">
      <c r="A4" s="14">
        <f>IF(B4="","","REV-"&amp;TEXT(ROW()-1,"0000"))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4">
        <f>IF(B5="","","REV-"&amp;TEXT(ROW()-1,"0000"))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s="14">
        <f>IF(B6="","","REV-"&amp;TEXT(ROW()-1,"0000"))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8" customWidth="1" min="5" max="5"/>
    <col width="14" customWidth="1" min="6" max="6"/>
    <col width="40" customWidth="1" min="7" max="7"/>
    <col width="30" customWidth="1" min="8" max="8"/>
    <col width="30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DiaryID</t>
        </is>
      </c>
      <c r="B1" s="13" t="inlineStr">
        <is>
          <t>CaseID</t>
        </is>
      </c>
      <c r="C1" s="13" t="inlineStr">
        <is>
          <t>EntryDate</t>
        </is>
      </c>
      <c r="D1" s="13" t="inlineStr">
        <is>
          <t>EntryTime</t>
        </is>
      </c>
      <c r="E1" s="13" t="inlineStr">
        <is>
          <t>EnteredBy</t>
        </is>
      </c>
      <c r="F1" s="13" t="inlineStr">
        <is>
          <t>Unit</t>
        </is>
      </c>
      <c r="G1" s="13" t="inlineStr">
        <is>
          <t>DiaryNarrative</t>
        </is>
      </c>
      <c r="H1" s="13" t="inlineStr">
        <is>
          <t>ActionTaken</t>
        </is>
      </c>
      <c r="I1" s="13" t="inlineStr">
        <is>
          <t>NextSteps</t>
        </is>
      </c>
      <c r="J1" s="13" t="inlineStr">
        <is>
          <t>CreatedBy</t>
        </is>
      </c>
      <c r="K1" s="13" t="inlineStr">
        <is>
          <t>CreatedDate</t>
        </is>
      </c>
      <c r="L1" s="13" t="inlineStr">
        <is>
          <t>LastUpdatedBy</t>
        </is>
      </c>
      <c r="M1" s="13" t="inlineStr">
        <is>
          <t>LastUpdatedDate</t>
        </is>
      </c>
    </row>
    <row r="2">
      <c r="A2" s="14">
        <f>IF(B2="","","DRY-"&amp;TEXT(ROW()-1,"0000"))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IF(B3="","","DRY-"&amp;TEXT(ROW()-1,"0000"))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IF(B4="","","DRY-"&amp;TEXT(ROW()-1,"0000"))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IF(B5="","","DRY-"&amp;TEXT(ROW()-1,"0000"))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IF(B6="","","DRY-"&amp;TEXT(ROW()-1,"0000"))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8" customWidth="1" min="5" max="5"/>
    <col width="12" customWidth="1" min="6" max="6"/>
    <col width="24" customWidth="1" min="7" max="7"/>
    <col width="40" customWidth="1" min="8" max="8"/>
    <col width="2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MessageID</t>
        </is>
      </c>
      <c r="B1" s="13" t="inlineStr">
        <is>
          <t>Date</t>
        </is>
      </c>
      <c r="C1" s="13" t="inlineStr">
        <is>
          <t>Time</t>
        </is>
      </c>
      <c r="D1" s="13" t="inlineStr">
        <is>
          <t>From</t>
        </is>
      </c>
      <c r="E1" s="13" t="inlineStr">
        <is>
          <t>To</t>
        </is>
      </c>
      <c r="F1" s="13" t="inlineStr">
        <is>
          <t>Priority</t>
        </is>
      </c>
      <c r="G1" s="13" t="inlineStr">
        <is>
          <t>Subject</t>
        </is>
      </c>
      <c r="H1" s="13" t="inlineStr">
        <is>
          <t>MessageBody</t>
        </is>
      </c>
      <c r="I1" s="13" t="inlineStr">
        <is>
          <t>ActionRequired</t>
        </is>
      </c>
      <c r="J1" s="13" t="inlineStr">
        <is>
          <t>LinkedCaseID</t>
        </is>
      </c>
      <c r="K1" s="13" t="inlineStr">
        <is>
          <t>LinkedLeadID</t>
        </is>
      </c>
      <c r="L1" s="13" t="inlineStr">
        <is>
          <t>CreatedBy</t>
        </is>
      </c>
      <c r="M1" s="13" t="inlineStr">
        <is>
          <t>CreatedDate</t>
        </is>
      </c>
    </row>
    <row r="2">
      <c r="A2" s="14">
        <f>IF(B2="","","MSG-"&amp;TEXT(ROW()-1,"0000"))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IF(B3="","","MSG-"&amp;TEXT(ROW()-1,"0000"))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IF(B4="","","MSG-"&amp;TEXT(ROW()-1,"0000"))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IF(B5="","","MSG-"&amp;TEXT(ROW()-1,"0000"))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IF(B6="","","MSG-"&amp;TEXT(ROW()-1,"0000"))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0" customWidth="1" min="5" max="5"/>
    <col width="28" customWidth="1" min="6" max="6"/>
    <col width="16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2" customWidth="1" min="14" max="14"/>
    <col width="24" customWidth="1" min="15" max="15"/>
    <col width="16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3" t="inlineStr">
        <is>
          <t>PersonID</t>
        </is>
      </c>
      <c r="B1" s="13" t="inlineStr">
        <is>
          <t>FullName</t>
        </is>
      </c>
      <c r="C1" s="13" t="inlineStr">
        <is>
          <t>Alias</t>
        </is>
      </c>
      <c r="D1" s="13" t="inlineStr">
        <is>
          <t>DOB</t>
        </is>
      </c>
      <c r="E1" s="13" t="inlineStr">
        <is>
          <t>Gender</t>
        </is>
      </c>
      <c r="F1" s="13" t="inlineStr">
        <is>
          <t>Address</t>
        </is>
      </c>
      <c r="G1" s="13" t="inlineStr">
        <is>
          <t>Parish</t>
        </is>
      </c>
      <c r="H1" s="13" t="inlineStr">
        <is>
          <t>Phone</t>
        </is>
      </c>
      <c r="I1" s="13" t="inlineStr">
        <is>
          <t>ID_Type</t>
        </is>
      </c>
      <c r="J1" s="13" t="inlineStr">
        <is>
          <t>ID_Number</t>
        </is>
      </c>
      <c r="K1" s="13" t="inlineStr">
        <is>
          <t>Role</t>
        </is>
      </c>
      <c r="L1" s="13" t="inlineStr">
        <is>
          <t>LinkedCaseID</t>
        </is>
      </c>
      <c r="M1" s="13" t="inlineStr">
        <is>
          <t>LinkedLeadID</t>
        </is>
      </c>
      <c r="N1" s="13" t="inlineStr">
        <is>
          <t>RiskLevel</t>
        </is>
      </c>
      <c r="O1" s="13" t="inlineStr">
        <is>
          <t>Notes</t>
        </is>
      </c>
      <c r="P1" s="13" t="inlineStr">
        <is>
          <t>PhotoRef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</row>
    <row r="2">
      <c r="A2" s="14">
        <f>IF(B2="","","PER-"&amp;TEXT(ROW()-1,"0000"))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IF(B3="","","PER-"&amp;TEXT(ROW()-1,"0000"))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IF(B4="","","PER-"&amp;TEXT(ROW()-1,"0000"))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IF(B5="","","PER-"&amp;TEXT(ROW()-1,"0000"))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IF(B6="","","PER-"&amp;TEXT(ROW()-1,"0000"))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dataValidations count="1">
    <dataValidation sqref="G2:G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28" customWidth="1" min="6" max="6"/>
    <col width="20" customWidth="1" min="7" max="7"/>
    <col width="24" customWidth="1" min="8" max="8"/>
    <col width="20" customWidth="1" min="9" max="9"/>
    <col width="36" customWidth="1" min="10" max="10"/>
    <col width="14" customWidth="1" min="11" max="11"/>
    <col width="12" customWidth="1" min="12" max="12"/>
    <col width="14" customWidth="1" min="13" max="13"/>
    <col width="14" customWidth="1" min="14" max="14"/>
    <col width="14" customWidth="1" min="15" max="15"/>
    <col width="24" customWidth="1" min="16" max="16"/>
    <col width="14" customWidth="1" min="17" max="17"/>
    <col width="14" customWidth="1" min="18" max="18"/>
    <col width="8" customWidth="1" min="19" max="19"/>
    <col width="8" customWidth="1" min="20" max="20"/>
    <col width="8" customWidth="1" min="21" max="21"/>
    <col width="8" customWidth="1" min="22" max="22"/>
  </cols>
  <sheetData>
    <row r="1">
      <c r="A1" s="13" t="inlineStr">
        <is>
          <t>MCR_ID</t>
        </is>
      </c>
      <c r="B1" s="13" t="inlineStr">
        <is>
          <t>MCR_Date</t>
        </is>
      </c>
      <c r="C1" s="13" t="inlineStr">
        <is>
          <t>ReportingStation</t>
        </is>
      </c>
      <c r="D1" s="13" t="inlineStr">
        <is>
          <t>Parish</t>
        </is>
      </c>
      <c r="E1" s="13" t="inlineStr">
        <is>
          <t>OffenceCode</t>
        </is>
      </c>
      <c r="F1" s="13" t="inlineStr">
        <is>
          <t>OffenceDescription</t>
        </is>
      </c>
      <c r="G1" s="13" t="inlineStr">
        <is>
          <t>Complainant</t>
        </is>
      </c>
      <c r="H1" s="13" t="inlineStr">
        <is>
          <t>Location</t>
        </is>
      </c>
      <c r="I1" s="13" t="inlineStr">
        <is>
          <t>Suspect</t>
        </is>
      </c>
      <c r="J1" s="13" t="inlineStr">
        <is>
          <t>Summary</t>
        </is>
      </c>
      <c r="K1" s="13" t="inlineStr">
        <is>
          <t>FNID_Relevant</t>
        </is>
      </c>
      <c r="L1" s="13" t="inlineStr">
        <is>
          <t>AutoRouted</t>
        </is>
      </c>
      <c r="M1" s="13" t="inlineStr">
        <is>
          <t>RoutedDate</t>
        </is>
      </c>
      <c r="N1" s="13" t="inlineStr">
        <is>
          <t>TriageStatus</t>
        </is>
      </c>
      <c r="O1" s="13" t="inlineStr">
        <is>
          <t>LinkedLeadID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Week</t>
        </is>
      </c>
      <c r="T1" s="13" t="inlineStr">
        <is>
          <t>Month</t>
        </is>
      </c>
      <c r="U1" s="13" t="inlineStr">
        <is>
          <t>Quarter</t>
        </is>
      </c>
      <c r="V1" s="13" t="inlineStr">
        <is>
          <t>Year</t>
        </is>
      </c>
    </row>
    <row r="2">
      <c r="A2" s="14">
        <f>IF(B2="","","MCR-"&amp;TEXT(ROW()-1,"0000"))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IFERROR(VLOOKUP(E2,tbl_OffenceClassMap[#All],4,FALSE),"No")</f>
        <v/>
      </c>
      <c r="L2" s="14">
        <f>IFERROR(VLOOKUP(E2,tbl_OffenceClassMap[#All],5,FALSE),"No")</f>
        <v/>
      </c>
      <c r="M2" s="14" t="n"/>
      <c r="N2" s="14" t="n"/>
      <c r="O2" s="14" t="n"/>
      <c r="P2" s="14" t="n"/>
      <c r="Q2" s="14" t="n"/>
      <c r="R2" s="14" t="n"/>
      <c r="S2" s="14">
        <f>IF(B2="","",WEEKNUM(B2))</f>
        <v/>
      </c>
      <c r="T2" s="14">
        <f>IF(B2="","",MONTH(B2))</f>
        <v/>
      </c>
      <c r="U2" s="14">
        <f>IF(B2="","",ROUNDUP(MONTH(B2)/3,0))</f>
        <v/>
      </c>
      <c r="V2" s="14">
        <f>IF(B2="","",YEAR(B2))</f>
        <v/>
      </c>
    </row>
    <row r="3">
      <c r="A3" s="14">
        <f>IF(B3="","","MCR-"&amp;TEXT(ROW()-1,"0000"))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IFERROR(VLOOKUP(E3,tbl_OffenceClassMap[#All],4,FALSE),"No")</f>
        <v/>
      </c>
      <c r="L3" s="14">
        <f>IFERROR(VLOOKUP(E3,tbl_OffenceClassMap[#All],5,FALSE),"No")</f>
        <v/>
      </c>
      <c r="M3" s="14" t="n"/>
      <c r="N3" s="14" t="n"/>
      <c r="O3" s="14" t="n"/>
      <c r="P3" s="14" t="n"/>
      <c r="Q3" s="14" t="n"/>
      <c r="R3" s="14" t="n"/>
      <c r="S3" s="14">
        <f>IF(B3="","",WEEKNUM(B3))</f>
        <v/>
      </c>
      <c r="T3" s="14">
        <f>IF(B3="","",MONTH(B3))</f>
        <v/>
      </c>
      <c r="U3" s="14">
        <f>IF(B3="","",ROUNDUP(MONTH(B3)/3,0))</f>
        <v/>
      </c>
      <c r="V3" s="14">
        <f>IF(B3="","",YEAR(B3))</f>
        <v/>
      </c>
    </row>
    <row r="4">
      <c r="A4" s="14">
        <f>IF(B4="","","MCR-"&amp;TEXT(ROW()-1,"0000"))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IFERROR(VLOOKUP(E4,tbl_OffenceClassMap[#All],4,FALSE),"No")</f>
        <v/>
      </c>
      <c r="L4" s="14">
        <f>IFERROR(VLOOKUP(E4,tbl_OffenceClassMap[#All],5,FALSE),"No")</f>
        <v/>
      </c>
      <c r="M4" s="14" t="n"/>
      <c r="N4" s="14" t="n"/>
      <c r="O4" s="14" t="n"/>
      <c r="P4" s="14" t="n"/>
      <c r="Q4" s="14" t="n"/>
      <c r="R4" s="14" t="n"/>
      <c r="S4" s="14">
        <f>IF(B4="","",WEEKNUM(B4))</f>
        <v/>
      </c>
      <c r="T4" s="14">
        <f>IF(B4="","",MONTH(B4))</f>
        <v/>
      </c>
      <c r="U4" s="14">
        <f>IF(B4="","",ROUNDUP(MONTH(B4)/3,0))</f>
        <v/>
      </c>
      <c r="V4" s="14">
        <f>IF(B4="","",YEAR(B4))</f>
        <v/>
      </c>
    </row>
    <row r="5">
      <c r="A5" s="14">
        <f>IF(B5="","","MCR-"&amp;TEXT(ROW()-1,"0000"))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IFERROR(VLOOKUP(E5,tbl_OffenceClassMap[#All],4,FALSE),"No")</f>
        <v/>
      </c>
      <c r="L5" s="14">
        <f>IFERROR(VLOOKUP(E5,tbl_OffenceClassMap[#All],5,FALSE),"No")</f>
        <v/>
      </c>
      <c r="M5" s="14" t="n"/>
      <c r="N5" s="14" t="n"/>
      <c r="O5" s="14" t="n"/>
      <c r="P5" s="14" t="n"/>
      <c r="Q5" s="14" t="n"/>
      <c r="R5" s="14" t="n"/>
      <c r="S5" s="14">
        <f>IF(B5="","",WEEKNUM(B5))</f>
        <v/>
      </c>
      <c r="T5" s="14">
        <f>IF(B5="","",MONTH(B5))</f>
        <v/>
      </c>
      <c r="U5" s="14">
        <f>IF(B5="","",ROUNDUP(MONTH(B5)/3,0))</f>
        <v/>
      </c>
      <c r="V5" s="14">
        <f>IF(B5="","",YEAR(B5))</f>
        <v/>
      </c>
    </row>
    <row r="6">
      <c r="A6" s="14">
        <f>IF(B6="","","MCR-"&amp;TEXT(ROW()-1,"0000"))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IFERROR(VLOOKUP(E6,tbl_OffenceClassMap[#All],4,FALSE),"No")</f>
        <v/>
      </c>
      <c r="L6" s="14">
        <f>IFERROR(VLOOKUP(E6,tbl_OffenceClassMap[#All],5,FALSE),"No")</f>
        <v/>
      </c>
      <c r="M6" s="14" t="n"/>
      <c r="N6" s="14" t="n"/>
      <c r="O6" s="14" t="n"/>
      <c r="P6" s="14" t="n"/>
      <c r="Q6" s="14" t="n"/>
      <c r="R6" s="14" t="n"/>
      <c r="S6" s="14">
        <f>IF(B6="","",WEEKNUM(B6))</f>
        <v/>
      </c>
      <c r="T6" s="14">
        <f>IF(B6="","",MONTH(B6))</f>
        <v/>
      </c>
      <c r="U6" s="14">
        <f>IF(B6="","",ROUNDUP(MONTH(B6)/3,0))</f>
        <v/>
      </c>
      <c r="V6" s="14">
        <f>IF(B6="","",YEAR(B6))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6" customWidth="1" min="5" max="5"/>
    <col width="16" customWidth="1" min="6" max="6"/>
    <col width="24" customWidth="1" min="7" max="7"/>
    <col width="36" customWidth="1" min="8" max="8"/>
    <col width="18" customWidth="1" min="9" max="9"/>
    <col width="12" customWidth="1" min="10" max="10"/>
    <col width="12" customWidth="1" min="11" max="11"/>
    <col width="20" customWidth="1" min="12" max="12"/>
    <col width="14" customWidth="1" min="13" max="13"/>
    <col width="18" customWidth="1" min="14" max="14"/>
    <col width="14" customWidth="1" min="15" max="15"/>
    <col width="18" customWidth="1" min="16" max="16"/>
    <col width="14" customWidth="1" min="17" max="17"/>
    <col width="16" customWidth="1" min="18" max="18"/>
    <col width="16" customWidth="1" min="19" max="19"/>
    <col width="14" customWidth="1" min="20" max="20"/>
    <col width="14" customWidth="1" min="21" max="21"/>
    <col width="12" customWidth="1" min="22" max="22"/>
    <col width="24" customWidth="1" min="23" max="23"/>
    <col width="14" customWidth="1" min="24" max="24"/>
    <col width="14" customWidth="1" min="25" max="25"/>
    <col width="14" customWidth="1" min="26" max="26"/>
    <col width="14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>
      <c r="A1" s="13" t="inlineStr">
        <is>
          <t>LeadID</t>
        </is>
      </c>
      <c r="B1" s="13" t="inlineStr">
        <is>
          <t>DateReceived</t>
        </is>
      </c>
      <c r="C1" s="13" t="inlineStr">
        <is>
          <t>Source</t>
        </is>
      </c>
      <c r="D1" s="13" t="inlineStr">
        <is>
          <t>SourceDetail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Subject</t>
        </is>
      </c>
      <c r="H1" s="13" t="inlineStr">
        <is>
          <t>Summary</t>
        </is>
      </c>
      <c r="I1" s="13" t="inlineStr">
        <is>
          <t>Credibility</t>
        </is>
      </c>
      <c r="J1" s="13" t="inlineStr">
        <is>
          <t>Priority</t>
        </is>
      </c>
      <c r="K1" s="13" t="inlineStr">
        <is>
          <t>RiskScore</t>
        </is>
      </c>
      <c r="L1" s="13" t="inlineStr">
        <is>
          <t>TriageDecision</t>
        </is>
      </c>
      <c r="M1" s="13" t="inlineStr">
        <is>
          <t>TriageDate</t>
        </is>
      </c>
      <c r="N1" s="13" t="inlineStr">
        <is>
          <t>AssignedTo</t>
        </is>
      </c>
      <c r="O1" s="13" t="inlineStr">
        <is>
          <t>Unit</t>
        </is>
      </c>
      <c r="P1" s="13" t="inlineStr">
        <is>
          <t>Outcome</t>
        </is>
      </c>
      <c r="Q1" s="13" t="inlineStr">
        <is>
          <t>OutcomeDate</t>
        </is>
      </c>
      <c r="R1" s="13" t="inlineStr">
        <is>
          <t>ConvertedToCaseID</t>
        </is>
      </c>
      <c r="S1" s="13" t="inlineStr">
        <is>
          <t>ConvertedToOpsID</t>
        </is>
      </c>
      <c r="T1" s="13" t="inlineStr">
        <is>
          <t>FollowUpRequired</t>
        </is>
      </c>
      <c r="U1" s="13" t="inlineStr">
        <is>
          <t>FollowUpDueDate</t>
        </is>
      </c>
      <c r="V1" s="13" t="inlineStr">
        <is>
          <t>FCSI_Flag</t>
        </is>
      </c>
      <c r="W1" s="13" t="inlineStr">
        <is>
          <t>Notes</t>
        </is>
      </c>
      <c r="X1" s="13" t="inlineStr">
        <is>
          <t>CreatedBy</t>
        </is>
      </c>
      <c r="Y1" s="13" t="inlineStr">
        <is>
          <t>CreatedDate</t>
        </is>
      </c>
      <c r="Z1" s="13" t="inlineStr">
        <is>
          <t>LastUpdatedBy</t>
        </is>
      </c>
      <c r="AA1" s="13" t="inlineStr">
        <is>
          <t>LastUpdatedDate</t>
        </is>
      </c>
      <c r="AB1" s="13" t="inlineStr">
        <is>
          <t>Week</t>
        </is>
      </c>
      <c r="AC1" s="13" t="inlineStr">
        <is>
          <t>Month</t>
        </is>
      </c>
      <c r="AD1" s="13" t="inlineStr">
        <is>
          <t>Quarter</t>
        </is>
      </c>
      <c r="AE1" s="13" t="inlineStr">
        <is>
          <t>Year</t>
        </is>
      </c>
    </row>
    <row r="2">
      <c r="A2" s="14">
        <f>IF(B2="","","LEAD-"&amp;TEXT(ROW()-1,"0000"))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IFERROR(IF(OR(I2="",J2=""),"",IF(J2="Critical",4,IF(J2="High",3,IF(J2="Medium",2,1)))*IF(LEFT(I2,1)="A",5,IF(LEFT(I2,1)="B",4,IF(LEFT(I2,1)="C",3,IF(LEFT(I2,1)="D",2,1))))),"")</f>
        <v/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>
        <f>IF(B2="","",WEEKNUM(B2))</f>
        <v/>
      </c>
      <c r="AC2" s="14">
        <f>IF(B2="","",MONTH(B2))</f>
        <v/>
      </c>
      <c r="AD2" s="14">
        <f>IF(B2="","",ROUNDUP(MONTH(B2)/3,0))</f>
        <v/>
      </c>
      <c r="AE2" s="14">
        <f>IF(B2="","",YEAR(B2))</f>
        <v/>
      </c>
    </row>
    <row r="3">
      <c r="A3" s="14">
        <f>IF(B3="","","LEAD-"&amp;TEXT(ROW()-1,"0000"))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IFERROR(IF(OR(I3="",J3=""),"",IF(J3="Critical",4,IF(J3="High",3,IF(J3="Medium",2,1)))*IF(LEFT(I3,1)="A",5,IF(LEFT(I3,1)="B",4,IF(LEFT(I3,1)="C",3,IF(LEFT(I3,1)="D",2,1))))),"")</f>
        <v/>
      </c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>
        <f>IF(B3="","",WEEKNUM(B3))</f>
        <v/>
      </c>
      <c r="AC3" s="14">
        <f>IF(B3="","",MONTH(B3))</f>
        <v/>
      </c>
      <c r="AD3" s="14">
        <f>IF(B3="","",ROUNDUP(MONTH(B3)/3,0))</f>
        <v/>
      </c>
      <c r="AE3" s="14">
        <f>IF(B3="","",YEAR(B3))</f>
        <v/>
      </c>
    </row>
    <row r="4">
      <c r="A4" s="14">
        <f>IF(B4="","","LEAD-"&amp;TEXT(ROW()-1,"0000"))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IFERROR(IF(OR(I4="",J4=""),"",IF(J4="Critical",4,IF(J4="High",3,IF(J4="Medium",2,1)))*IF(LEFT(I4,1)="A",5,IF(LEFT(I4,1)="B",4,IF(LEFT(I4,1)="C",3,IF(LEFT(I4,1)="D",2,1))))),"")</f>
        <v/>
      </c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>
        <f>IF(B4="","",WEEKNUM(B4))</f>
        <v/>
      </c>
      <c r="AC4" s="14">
        <f>IF(B4="","",MONTH(B4))</f>
        <v/>
      </c>
      <c r="AD4" s="14">
        <f>IF(B4="","",ROUNDUP(MONTH(B4)/3,0))</f>
        <v/>
      </c>
      <c r="AE4" s="14">
        <f>IF(B4="","",YEAR(B4))</f>
        <v/>
      </c>
    </row>
    <row r="5">
      <c r="A5" s="14">
        <f>IF(B5="","","LEAD-"&amp;TEXT(ROW()-1,"0000"))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IFERROR(IF(OR(I5="",J5=""),"",IF(J5="Critical",4,IF(J5="High",3,IF(J5="Medium",2,1)))*IF(LEFT(I5,1)="A",5,IF(LEFT(I5,1)="B",4,IF(LEFT(I5,1)="C",3,IF(LEFT(I5,1)="D",2,1))))),"")</f>
        <v/>
      </c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>
        <f>IF(B5="","",WEEKNUM(B5))</f>
        <v/>
      </c>
      <c r="AC5" s="14">
        <f>IF(B5="","",MONTH(B5))</f>
        <v/>
      </c>
      <c r="AD5" s="14">
        <f>IF(B5="","",ROUNDUP(MONTH(B5)/3,0))</f>
        <v/>
      </c>
      <c r="AE5" s="14">
        <f>IF(B5="","",YEAR(B5))</f>
        <v/>
      </c>
    </row>
    <row r="6">
      <c r="A6" s="14">
        <f>IF(B6="","","LEAD-"&amp;TEXT(ROW()-1,"0000"))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IFERROR(IF(OR(I6="",J6=""),"",IF(J6="Critical",4,IF(J6="High",3,IF(J6="Medium",2,1)))*IF(LEFT(I6,1)="A",5,IF(LEFT(I6,1)="B",4,IF(LEFT(I6,1)="C",3,IF(LEFT(I6,1)="D",2,1))))),"")</f>
        <v/>
      </c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>
        <f>IF(B6="","",WEEKNUM(B6))</f>
        <v/>
      </c>
      <c r="AC6" s="14">
        <f>IF(B6="","",MONTH(B6))</f>
        <v/>
      </c>
      <c r="AD6" s="14">
        <f>IF(B6="","",ROUNDUP(MONTH(B6)/3,0))</f>
        <v/>
      </c>
      <c r="AE6" s="14">
        <f>IF(B6="","",YEAR(B6))</f>
        <v/>
      </c>
    </row>
  </sheetData>
  <conditionalFormatting sqref="K2:K1000">
    <cfRule type="cellIs" priority="1" operator="greaterThanOrEqual" dxfId="0">
      <formula>15</formula>
    </cfRule>
    <cfRule type="cellIs" priority="2" operator="between" dxfId="1">
      <formula>8</formula>
      <formula>14</formula>
    </cfRule>
  </conditionalFormatting>
  <conditionalFormatting sqref="U2:U1000">
    <cfRule type="expression" priority="3" dxfId="0">
      <formula>=AND(U2&lt;&gt;"",U2&lt;TODAY(),T2="Yes")</formula>
    </cfRule>
  </conditionalFormatting>
  <dataValidations count="8">
    <dataValidation sqref="C2:C1000" showDropDown="0" showInputMessage="0" showErrorMessage="0" allowBlank="1" errorTitle="Invalid Entry" error="Please select from the list." type="list">
      <formula1>=Lookups!$F$2:$F$9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I2:I1000" showDropDown="0" showInputMessage="0" showErrorMessage="0" allowBlank="1" errorTitle="Invalid Entry" error="Please select from the list." type="list">
      <formula1>=Lookups!$J$2:$J$7</formula1>
    </dataValidation>
    <dataValidation sqref="J2:J1000" showDropDown="0" showInputMessage="0" showErrorMessage="0" allowBlank="1" errorTitle="Invalid Entry" error="Please select from the list." type="list">
      <formula1>=Lookups!$B$2:$B$6</formula1>
    </dataValidation>
    <dataValidation sqref="L2:L1000" showDropDown="0" showInputMessage="0" showErrorMessage="0" allowBlank="1" errorTitle="Invalid Entry" error="Please select from the list." type="list">
      <formula1>=Lookups!$G$2:$G$6</formula1>
    </dataValidation>
    <dataValidation sqref="O2:O1000" showDropDown="0" showInputMessage="0" showErrorMessage="0" allowBlank="1" errorTitle="Invalid Entry" error="Please select from the list." type="list">
      <formula1>=Lookups!$E$2:$E$11</formula1>
    </dataValidation>
    <dataValidation sqref="P2:P1000" showDropDown="0" showInputMessage="0" showErrorMessage="0" allowBlank="1" errorTitle="Invalid Entry" error="Please select from the list." type="list">
      <formula1>=Lookups!$S$2:$S$6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36" customWidth="1" min="5" max="5"/>
    <col width="12" customWidth="1" min="6" max="6"/>
    <col width="18" customWidth="1" min="7" max="7"/>
    <col width="14" customWidth="1" min="8" max="8"/>
    <col width="14" customWidth="1" min="9" max="9"/>
    <col width="24" customWidth="1" min="10" max="10"/>
    <col width="2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3" t="inlineStr">
        <is>
          <t>RecID</t>
        </is>
      </c>
      <c r="B1" s="13" t="inlineStr">
        <is>
          <t>LeadID</t>
        </is>
      </c>
      <c r="C1" s="13" t="inlineStr">
        <is>
          <t>RecommendedBy</t>
        </is>
      </c>
      <c r="D1" s="13" t="inlineStr">
        <is>
          <t>RecommendationDate</t>
        </is>
      </c>
      <c r="E1" s="13" t="inlineStr">
        <is>
          <t>Recommendation</t>
        </is>
      </c>
      <c r="F1" s="13" t="inlineStr">
        <is>
          <t>Priority</t>
        </is>
      </c>
      <c r="G1" s="13" t="inlineStr">
        <is>
          <t>AssignedTo</t>
        </is>
      </c>
      <c r="H1" s="13" t="inlineStr">
        <is>
          <t>DueDate</t>
        </is>
      </c>
      <c r="I1" s="13" t="inlineStr">
        <is>
          <t>Status</t>
        </is>
      </c>
      <c r="J1" s="13" t="inlineStr">
        <is>
          <t>Outcome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LastUpdatedBy</t>
        </is>
      </c>
      <c r="O1" s="13" t="inlineStr">
        <is>
          <t>LastUpdatedDate</t>
        </is>
      </c>
    </row>
    <row r="2">
      <c r="A2" s="14">
        <f>IF(B2="","","REC-"&amp;TEXT(ROW()-1,"0000"))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</row>
    <row r="3">
      <c r="A3" s="14">
        <f>IF(B3="","","REC-"&amp;TEXT(ROW()-1,"0000"))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>
      <c r="A4" s="14">
        <f>IF(B4="","","REC-"&amp;TEXT(ROW()-1,"0000"))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>
      <c r="A5" s="14">
        <f>IF(B5="","","REC-"&amp;TEXT(ROW()-1,"0000"))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>
      <c r="A6" s="14">
        <f>IF(B6="","","REC-"&amp;TEXT(ROW()-1,"0000"))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20" customWidth="1" min="5" max="5"/>
    <col width="24" customWidth="1" min="6" max="6"/>
    <col width="36" customWidth="1" min="7" max="7"/>
    <col width="30" customWidth="1" min="8" max="8"/>
    <col width="18" customWidth="1" min="9" max="9"/>
    <col width="18" customWidth="1" min="10" max="10"/>
    <col width="1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3" t="inlineStr">
        <is>
          <t>BriefingID</t>
        </is>
      </c>
      <c r="B1" s="13" t="inlineStr">
        <is>
          <t>BriefingDate</t>
        </is>
      </c>
      <c r="C1" s="13" t="inlineStr">
        <is>
          <t>BriefingTime</t>
        </is>
      </c>
      <c r="D1" s="13" t="inlineStr">
        <is>
          <t>Presenter</t>
        </is>
      </c>
      <c r="E1" s="13" t="inlineStr">
        <is>
          <t>Audience</t>
        </is>
      </c>
      <c r="F1" s="13" t="inlineStr">
        <is>
          <t>Topic</t>
        </is>
      </c>
      <c r="G1" s="13" t="inlineStr">
        <is>
          <t>KeyFindings</t>
        </is>
      </c>
      <c r="H1" s="13" t="inlineStr">
        <is>
          <t>ActionItems</t>
        </is>
      </c>
      <c r="I1" s="13" t="inlineStr">
        <is>
          <t>LinkedLeadIDs</t>
        </is>
      </c>
      <c r="J1" s="13" t="inlineStr">
        <is>
          <t>LinkedCaseIDs</t>
        </is>
      </c>
      <c r="K1" s="13" t="inlineStr">
        <is>
          <t>AttendeeCount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</row>
    <row r="2">
      <c r="A2" s="14">
        <f>IF(B2="","","BRIEF-"&amp;TEXT(ROW()-1,"0000"))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>
        <f>IF(B3="","","BRIEF-"&amp;TEXT(ROW()-1,"0000"))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>
        <f>IF(B4="","","BRIEF-"&amp;TEXT(ROW()-1,"0000"))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>
        <f>IF(B5="","","BRIEF-"&amp;TEXT(ROW()-1,"0000"))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>
        <f>IF(B6="","","BRIEF-"&amp;TEXT(ROW()-1,"0000"))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2" customWidth="1" min="4" max="4"/>
    <col width="16" customWidth="1" min="5" max="5"/>
    <col width="16" customWidth="1" min="6" max="6"/>
    <col width="22" customWidth="1" min="7" max="7"/>
    <col width="18" customWidth="1" min="8" max="8"/>
    <col width="10" customWidth="1" min="9" max="9"/>
    <col width="14" customWidth="1" min="10" max="10"/>
    <col width="12" customWidth="1" min="11" max="11"/>
    <col width="18" customWidth="1" min="12" max="12"/>
    <col width="16" customWidth="1" min="13" max="13"/>
    <col width="24" customWidth="1" min="14" max="14"/>
    <col width="10" customWidth="1" min="15" max="15"/>
    <col width="10" customWidth="1" min="16" max="16"/>
    <col width="14" customWidth="1" min="17" max="17"/>
    <col width="16" customWidth="1" min="18" max="18"/>
    <col width="16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8" customWidth="1" min="25" max="25"/>
    <col width="28" customWidth="1" min="26" max="26"/>
    <col width="12" customWidth="1" min="27" max="27"/>
    <col width="12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  <col width="8" customWidth="1" min="34" max="34"/>
    <col width="8" customWidth="1" min="35" max="35"/>
    <col width="8" customWidth="1" min="36" max="36"/>
    <col width="8" customWidth="1" min="37" max="37"/>
  </cols>
  <sheetData>
    <row r="1">
      <c r="A1" s="13" t="inlineStr">
        <is>
          <t>OPS_ID</t>
        </is>
      </c>
      <c r="B1" s="13" t="inlineStr">
        <is>
          <t>OpsDate</t>
        </is>
      </c>
      <c r="C1" s="13" t="inlineStr">
        <is>
          <t>OpsType</t>
        </is>
      </c>
      <c r="D1" s="13" t="inlineStr">
        <is>
          <t>OpsName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Location</t>
        </is>
      </c>
      <c r="H1" s="13" t="inlineStr">
        <is>
          <t>TeamLead</t>
        </is>
      </c>
      <c r="I1" s="13" t="inlineStr">
        <is>
          <t>TeamSize</t>
        </is>
      </c>
      <c r="J1" s="13" t="inlineStr">
        <is>
          <t>Unit</t>
        </is>
      </c>
      <c r="K1" s="13" t="inlineStr">
        <is>
          <t>FCSI_Flag</t>
        </is>
      </c>
      <c r="L1" s="13" t="inlineStr">
        <is>
          <t>FCSI_Hotspot</t>
        </is>
      </c>
      <c r="M1" s="13" t="inlineStr">
        <is>
          <t>WarrantNumber</t>
        </is>
      </c>
      <c r="N1" s="13" t="inlineStr">
        <is>
          <t>TargetDescription</t>
        </is>
      </c>
      <c r="O1" s="13" t="inlineStr">
        <is>
          <t>Searches</t>
        </is>
      </c>
      <c r="P1" s="13" t="inlineStr">
        <is>
          <t>Arrests</t>
        </is>
      </c>
      <c r="Q1" s="13" t="inlineStr">
        <is>
          <t>FirearmsSeized</t>
        </is>
      </c>
      <c r="R1" s="13" t="inlineStr">
        <is>
          <t>AmmunitionSeized</t>
        </is>
      </c>
      <c r="S1" s="13" t="inlineStr">
        <is>
          <t>NarcoticsSeized_kg</t>
        </is>
      </c>
      <c r="T1" s="13" t="inlineStr">
        <is>
          <t>CashSeized</t>
        </is>
      </c>
      <c r="U1" s="13" t="inlineStr">
        <is>
          <t>OtherSeizures</t>
        </is>
      </c>
      <c r="V1" s="13" t="inlineStr">
        <is>
          <t>IntelGained</t>
        </is>
      </c>
      <c r="W1" s="13" t="inlineStr">
        <is>
          <t>LinkedLeadID</t>
        </is>
      </c>
      <c r="X1" s="13" t="inlineStr">
        <is>
          <t>LinkedCaseID</t>
        </is>
      </c>
      <c r="Y1" s="13" t="inlineStr">
        <is>
          <t>Outcome</t>
        </is>
      </c>
      <c r="Z1" s="13" t="inlineStr">
        <is>
          <t>OutcomeNotes</t>
        </is>
      </c>
      <c r="AA1" s="13" t="inlineStr">
        <is>
          <t>StartTime</t>
        </is>
      </c>
      <c r="AB1" s="13" t="inlineStr">
        <is>
          <t>EndTime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  <c r="AH1" s="13" t="inlineStr">
        <is>
          <t>Week</t>
        </is>
      </c>
      <c r="AI1" s="13" t="inlineStr">
        <is>
          <t>Month</t>
        </is>
      </c>
      <c r="AJ1" s="13" t="inlineStr">
        <is>
          <t>Quarter</t>
        </is>
      </c>
      <c r="AK1" s="13" t="inlineStr">
        <is>
          <t>Year</t>
        </is>
      </c>
    </row>
    <row r="2">
      <c r="A2" s="14">
        <f>IF(B2="","","OPS-"&amp;TEXT(ROW()-1,"0000"))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>
        <f>IF(B2="","",WEEKNUM(B2))</f>
        <v/>
      </c>
      <c r="AI2" s="14">
        <f>IF(B2="","",MONTH(B2))</f>
        <v/>
      </c>
      <c r="AJ2" s="14">
        <f>IF(B2="","",ROUNDUP(MONTH(B2)/3,0))</f>
        <v/>
      </c>
      <c r="AK2" s="14">
        <f>IF(B2="","",YEAR(B2))</f>
        <v/>
      </c>
    </row>
    <row r="3">
      <c r="A3" s="14">
        <f>IF(B3="","","OPS-"&amp;TEXT(ROW()-1,"0000"))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>
        <f>IF(B3="","",WEEKNUM(B3))</f>
        <v/>
      </c>
      <c r="AI3" s="14">
        <f>IF(B3="","",MONTH(B3))</f>
        <v/>
      </c>
      <c r="AJ3" s="14">
        <f>IF(B3="","",ROUNDUP(MONTH(B3)/3,0))</f>
        <v/>
      </c>
      <c r="AK3" s="14">
        <f>IF(B3="","",YEAR(B3))</f>
        <v/>
      </c>
    </row>
    <row r="4">
      <c r="A4" s="14">
        <f>IF(B4="","","OPS-"&amp;TEXT(ROW()-1,"0000"))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>
        <f>IF(B4="","",WEEKNUM(B4))</f>
        <v/>
      </c>
      <c r="AI4" s="14">
        <f>IF(B4="","",MONTH(B4))</f>
        <v/>
      </c>
      <c r="AJ4" s="14">
        <f>IF(B4="","",ROUNDUP(MONTH(B4)/3,0))</f>
        <v/>
      </c>
      <c r="AK4" s="14">
        <f>IF(B4="","",YEAR(B4))</f>
        <v/>
      </c>
    </row>
    <row r="5">
      <c r="A5" s="14">
        <f>IF(B5="","","OPS-"&amp;TEXT(ROW()-1,"0000"))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>
        <f>IF(B5="","",WEEKNUM(B5))</f>
        <v/>
      </c>
      <c r="AI5" s="14">
        <f>IF(B5="","",MONTH(B5))</f>
        <v/>
      </c>
      <c r="AJ5" s="14">
        <f>IF(B5="","",ROUNDUP(MONTH(B5)/3,0))</f>
        <v/>
      </c>
      <c r="AK5" s="14">
        <f>IF(B5="","",YEAR(B5))</f>
        <v/>
      </c>
    </row>
    <row r="6">
      <c r="A6" s="14">
        <f>IF(B6="","","OPS-"&amp;TEXT(ROW()-1,"0000"))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>
        <f>IF(B6="","",WEEKNUM(B6))</f>
        <v/>
      </c>
      <c r="AI6" s="14">
        <f>IF(B6="","",MONTH(B6))</f>
        <v/>
      </c>
      <c r="AJ6" s="14">
        <f>IF(B6="","",ROUNDUP(MONTH(B6)/3,0))</f>
        <v/>
      </c>
      <c r="AK6" s="14">
        <f>IF(B6="","",YEAR(B6))</f>
        <v/>
      </c>
    </row>
  </sheetData>
  <conditionalFormatting sqref="K2:K1000">
    <cfRule type="expression" priority="1" dxfId="1">
      <formula>=K2="Yes"</formula>
    </cfRule>
  </conditionalFormatting>
  <dataValidations count="4">
    <dataValidation sqref="C2:C1000" showDropDown="0" showInputMessage="0" showErrorMessage="0" allowBlank="1" errorTitle="Invalid Entry" error="Please select from the list." type="list">
      <formula1>=Lookups!$H$2:$H$11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J2:J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38135"/>
    <outlinePr summaryBelow="1" summaryRight="1"/>
    <pageSetUpPr/>
  </sheetPr>
  <dimension ref="A1:A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20" customWidth="1" min="6" max="6"/>
    <col width="28" customWidth="1" min="7" max="7"/>
    <col width="10" customWidth="1" min="8" max="8"/>
    <col width="12" customWidth="1" min="9" max="9"/>
    <col width="18" customWidth="1" min="10" max="10"/>
    <col width="24" customWidth="1" min="11" max="11"/>
    <col width="18" customWidth="1" min="12" max="12"/>
    <col width="22" customWidth="1" min="13" max="13"/>
    <col width="20" customWidth="1" min="14" max="14"/>
    <col width="14" customWidth="1" min="15" max="15"/>
    <col width="14" customWidth="1" min="16" max="16"/>
    <col width="14" customWidth="1" min="17" max="17"/>
    <col width="16" customWidth="1" min="18" max="18"/>
    <col width="24" customWidth="1" min="19" max="19"/>
    <col width="14" customWidth="1" min="20" max="20"/>
    <col width="24" customWidth="1" min="21" max="21"/>
    <col width="22" customWidth="1" min="22" max="22"/>
    <col width="14" customWidth="1" min="23" max="23"/>
    <col width="14" customWidth="1" min="24" max="24"/>
    <col width="14" customWidth="1" min="25" max="25"/>
    <col width="16" customWidth="1" min="26" max="26"/>
    <col width="24" customWidth="1" min="27" max="27"/>
    <col width="14" customWidth="1" min="28" max="28"/>
    <col width="14" customWidth="1" min="29" max="29"/>
    <col width="14" customWidth="1" min="30" max="30"/>
    <col width="14" customWidth="1" min="31" max="31"/>
    <col width="8" customWidth="1" min="32" max="32"/>
    <col width="8" customWidth="1" min="33" max="33"/>
    <col width="8" customWidth="1" min="34" max="34"/>
    <col width="8" customWidth="1" min="35" max="35"/>
  </cols>
  <sheetData>
    <row r="1">
      <c r="A1" s="13" t="inlineStr">
        <is>
          <t>ExhibitID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DateCollected</t>
        </is>
      </c>
      <c r="E1" s="13" t="inlineStr">
        <is>
          <t>CollectedBy</t>
        </is>
      </c>
      <c r="F1" s="13" t="inlineStr">
        <is>
          <t>EvidenceType</t>
        </is>
      </c>
      <c r="G1" s="13" t="inlineStr">
        <is>
          <t>Description</t>
        </is>
      </c>
      <c r="H1" s="13" t="inlineStr">
        <is>
          <t>Quantity</t>
        </is>
      </c>
      <c r="I1" s="13" t="inlineStr">
        <is>
          <t>Unit_Measure</t>
        </is>
      </c>
      <c r="J1" s="13" t="inlineStr">
        <is>
          <t>StorageLocation</t>
        </is>
      </c>
      <c r="K1" s="13" t="inlineStr">
        <is>
          <t>ChainOfCustody_Log</t>
        </is>
      </c>
      <c r="L1" s="13" t="inlineStr">
        <is>
          <t>CurrentCustodian</t>
        </is>
      </c>
      <c r="M1" s="13" t="inlineStr">
        <is>
          <t>ForensicAgency</t>
        </is>
      </c>
      <c r="N1" s="13" t="inlineStr">
        <is>
          <t>ForensicTestType</t>
        </is>
      </c>
      <c r="O1" s="13" t="inlineStr">
        <is>
          <t>SubmissionDate</t>
        </is>
      </c>
      <c r="P1" s="13" t="inlineStr">
        <is>
          <t>ExpectedReturn</t>
        </is>
      </c>
      <c r="Q1" s="13" t="inlineStr">
        <is>
          <t>ActualReturnDate</t>
        </is>
      </c>
      <c r="R1" s="13" t="inlineStr">
        <is>
          <t>AnalysisStatus</t>
        </is>
      </c>
      <c r="S1" s="13" t="inlineStr">
        <is>
          <t>ForensicResult</t>
        </is>
      </c>
      <c r="T1" s="13" t="inlineStr">
        <is>
          <t>TurnaroundDays</t>
        </is>
      </c>
      <c r="U1" s="13" t="inlineStr">
        <is>
          <t>EvidentialUse</t>
        </is>
      </c>
      <c r="V1" s="13" t="inlineStr">
        <is>
          <t>CaseElementSupported</t>
        </is>
      </c>
      <c r="W1" s="13" t="inlineStr">
        <is>
          <t>CourtReadiness</t>
        </is>
      </c>
      <c r="X1" s="13" t="inlineStr">
        <is>
          <t>CourtDate</t>
        </is>
      </c>
      <c r="Y1" s="13" t="inlineStr">
        <is>
          <t>DisposalDate</t>
        </is>
      </c>
      <c r="Z1" s="13" t="inlineStr">
        <is>
          <t>DisposalMethod</t>
        </is>
      </c>
      <c r="AA1" s="13" t="inlineStr">
        <is>
          <t>Notes</t>
        </is>
      </c>
      <c r="AB1" s="13" t="inlineStr">
        <is>
          <t>CreatedBy</t>
        </is>
      </c>
      <c r="AC1" s="13" t="inlineStr">
        <is>
          <t>CreatedDate</t>
        </is>
      </c>
      <c r="AD1" s="13" t="inlineStr">
        <is>
          <t>LastUpdatedBy</t>
        </is>
      </c>
      <c r="AE1" s="13" t="inlineStr">
        <is>
          <t>LastUpdatedDate</t>
        </is>
      </c>
      <c r="AF1" s="13" t="inlineStr">
        <is>
          <t>Week</t>
        </is>
      </c>
      <c r="AG1" s="13" t="inlineStr">
        <is>
          <t>Month</t>
        </is>
      </c>
      <c r="AH1" s="13" t="inlineStr">
        <is>
          <t>Quarter</t>
        </is>
      </c>
      <c r="AI1" s="13" t="inlineStr">
        <is>
          <t>Year</t>
        </is>
      </c>
    </row>
    <row r="2">
      <c r="A2" s="14">
        <f>IF(B2="","","EXH-"&amp;TEXT(ROW()-1,"0000"))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>
        <f>IFERROR(VLOOKUP(F2,tbl_ForensicRouting[#All],2,FALSE),"")</f>
        <v/>
      </c>
      <c r="N2" s="14">
        <f>IFERROR(VLOOKUP(F2,tbl_ForensicRouting[#All],3,FALSE),"")</f>
        <v/>
      </c>
      <c r="O2" s="14" t="n"/>
      <c r="P2" s="14" t="n"/>
      <c r="Q2" s="14" t="n"/>
      <c r="R2" s="14" t="n"/>
      <c r="S2" s="14" t="n"/>
      <c r="T2" s="14">
        <f>IF(OR(O2="",Q2=""),"",Q2-O2)</f>
        <v/>
      </c>
      <c r="U2" s="14">
        <f>IFERROR(VLOOKUP(F2,tbl_EvidenceUseMap[#All],2,FALSE),"")</f>
        <v/>
      </c>
      <c r="V2" s="14">
        <f>IFERROR(VLOOKUP(F2,tbl_EvidenceUseMap[#All],3,FALSE),"")</f>
        <v/>
      </c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>
        <f>IF(D2="","",WEEKNUM(D2))</f>
        <v/>
      </c>
      <c r="AG2" s="14">
        <f>IF(D2="","",MONTH(D2))</f>
        <v/>
      </c>
      <c r="AH2" s="14">
        <f>IF(D2="","",ROUNDUP(MONTH(D2)/3,0))</f>
        <v/>
      </c>
      <c r="AI2" s="14">
        <f>IF(D2="","",YEAR(D2))</f>
        <v/>
      </c>
    </row>
    <row r="3">
      <c r="A3" s="14">
        <f>IF(B3="","","EXH-"&amp;TEXT(ROW()-1,"0000"))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>
        <f>IFERROR(VLOOKUP(F3,tbl_ForensicRouting[#All],2,FALSE),"")</f>
        <v/>
      </c>
      <c r="N3" s="14">
        <f>IFERROR(VLOOKUP(F3,tbl_ForensicRouting[#All],3,FALSE),"")</f>
        <v/>
      </c>
      <c r="O3" s="14" t="n"/>
      <c r="P3" s="14" t="n"/>
      <c r="Q3" s="14" t="n"/>
      <c r="R3" s="14" t="n"/>
      <c r="S3" s="14" t="n"/>
      <c r="T3" s="14">
        <f>IF(OR(O3="",Q3=""),"",Q3-O3)</f>
        <v/>
      </c>
      <c r="U3" s="14">
        <f>IFERROR(VLOOKUP(F3,tbl_EvidenceUseMap[#All],2,FALSE),"")</f>
        <v/>
      </c>
      <c r="V3" s="14">
        <f>IFERROR(VLOOKUP(F3,tbl_EvidenceUseMap[#All],3,FALSE),"")</f>
        <v/>
      </c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>
        <f>IF(D3="","",WEEKNUM(D3))</f>
        <v/>
      </c>
      <c r="AG3" s="14">
        <f>IF(D3="","",MONTH(D3))</f>
        <v/>
      </c>
      <c r="AH3" s="14">
        <f>IF(D3="","",ROUNDUP(MONTH(D3)/3,0))</f>
        <v/>
      </c>
      <c r="AI3" s="14">
        <f>IF(D3="","",YEAR(D3))</f>
        <v/>
      </c>
    </row>
    <row r="4">
      <c r="A4" s="14">
        <f>IF(B4="","","EXH-"&amp;TEXT(ROW()-1,"0000"))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>
        <f>IFERROR(VLOOKUP(F4,tbl_ForensicRouting[#All],2,FALSE),"")</f>
        <v/>
      </c>
      <c r="N4" s="14">
        <f>IFERROR(VLOOKUP(F4,tbl_ForensicRouting[#All],3,FALSE),"")</f>
        <v/>
      </c>
      <c r="O4" s="14" t="n"/>
      <c r="P4" s="14" t="n"/>
      <c r="Q4" s="14" t="n"/>
      <c r="R4" s="14" t="n"/>
      <c r="S4" s="14" t="n"/>
      <c r="T4" s="14">
        <f>IF(OR(O4="",Q4=""),"",Q4-O4)</f>
        <v/>
      </c>
      <c r="U4" s="14">
        <f>IFERROR(VLOOKUP(F4,tbl_EvidenceUseMap[#All],2,FALSE),"")</f>
        <v/>
      </c>
      <c r="V4" s="14">
        <f>IFERROR(VLOOKUP(F4,tbl_EvidenceUseMap[#All],3,FALSE),"")</f>
        <v/>
      </c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>
        <f>IF(D4="","",WEEKNUM(D4))</f>
        <v/>
      </c>
      <c r="AG4" s="14">
        <f>IF(D4="","",MONTH(D4))</f>
        <v/>
      </c>
      <c r="AH4" s="14">
        <f>IF(D4="","",ROUNDUP(MONTH(D4)/3,0))</f>
        <v/>
      </c>
      <c r="AI4" s="14">
        <f>IF(D4="","",YEAR(D4))</f>
        <v/>
      </c>
    </row>
    <row r="5">
      <c r="A5" s="14">
        <f>IF(B5="","","EXH-"&amp;TEXT(ROW()-1,"0000"))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>
        <f>IFERROR(VLOOKUP(F5,tbl_ForensicRouting[#All],2,FALSE),"")</f>
        <v/>
      </c>
      <c r="N5" s="14">
        <f>IFERROR(VLOOKUP(F5,tbl_ForensicRouting[#All],3,FALSE),"")</f>
        <v/>
      </c>
      <c r="O5" s="14" t="n"/>
      <c r="P5" s="14" t="n"/>
      <c r="Q5" s="14" t="n"/>
      <c r="R5" s="14" t="n"/>
      <c r="S5" s="14" t="n"/>
      <c r="T5" s="14">
        <f>IF(OR(O5="",Q5=""),"",Q5-O5)</f>
        <v/>
      </c>
      <c r="U5" s="14">
        <f>IFERROR(VLOOKUP(F5,tbl_EvidenceUseMap[#All],2,FALSE),"")</f>
        <v/>
      </c>
      <c r="V5" s="14">
        <f>IFERROR(VLOOKUP(F5,tbl_EvidenceUseMap[#All],3,FALSE),"")</f>
        <v/>
      </c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>
        <f>IF(D5="","",WEEKNUM(D5))</f>
        <v/>
      </c>
      <c r="AG5" s="14">
        <f>IF(D5="","",MONTH(D5))</f>
        <v/>
      </c>
      <c r="AH5" s="14">
        <f>IF(D5="","",ROUNDUP(MONTH(D5)/3,0))</f>
        <v/>
      </c>
      <c r="AI5" s="14">
        <f>IF(D5="","",YEAR(D5))</f>
        <v/>
      </c>
    </row>
    <row r="6">
      <c r="A6" s="14">
        <f>IF(B6="","","EXH-"&amp;TEXT(ROW()-1,"0000"))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>
        <f>IFERROR(VLOOKUP(F6,tbl_ForensicRouting[#All],2,FALSE),"")</f>
        <v/>
      </c>
      <c r="N6" s="14">
        <f>IFERROR(VLOOKUP(F6,tbl_ForensicRouting[#All],3,FALSE),"")</f>
        <v/>
      </c>
      <c r="O6" s="14" t="n"/>
      <c r="P6" s="14" t="n"/>
      <c r="Q6" s="14" t="n"/>
      <c r="R6" s="14" t="n"/>
      <c r="S6" s="14" t="n"/>
      <c r="T6" s="14">
        <f>IF(OR(O6="",Q6=""),"",Q6-O6)</f>
        <v/>
      </c>
      <c r="U6" s="14">
        <f>IFERROR(VLOOKUP(F6,tbl_EvidenceUseMap[#All],2,FALSE),"")</f>
        <v/>
      </c>
      <c r="V6" s="14">
        <f>IFERROR(VLOOKUP(F6,tbl_EvidenceUseMap[#All],3,FALSE),"")</f>
        <v/>
      </c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>
        <f>IF(D6="","",WEEKNUM(D6))</f>
        <v/>
      </c>
      <c r="AG6" s="14">
        <f>IF(D6="","",MONTH(D6))</f>
        <v/>
      </c>
      <c r="AH6" s="14">
        <f>IF(D6="","",ROUNDUP(MONTH(D6)/3,0))</f>
        <v/>
      </c>
      <c r="AI6" s="14">
        <f>IF(D6="","",YEAR(D6))</f>
        <v/>
      </c>
    </row>
  </sheetData>
  <conditionalFormatting sqref="P2:P1000">
    <cfRule type="expression" priority="1" dxfId="0">
      <formula>=AND(P2&lt;&gt;"",P2&lt;TODAY(),Q2="")</formula>
    </cfRule>
  </conditionalFormatting>
  <conditionalFormatting sqref="W2:W1000">
    <cfRule type="expression" priority="2" dxfId="0">
      <formula>=W2="Not Ready"</formula>
    </cfRule>
    <cfRule type="expression" priority="3" dxfId="2">
      <formula>=W2="Ready"</formula>
    </cfRule>
  </conditionalFormatting>
  <dataValidations count="3">
    <dataValidation sqref="F2:F1000" showDropDown="0" showInputMessage="0" showErrorMessage="0" allowBlank="1" errorTitle="Invalid Entry" error="Please select from the list." type="list">
      <formula1>=Lookups!$K$2:$K$16</formula1>
    </dataValidation>
    <dataValidation sqref="R2:R1000" showDropDown="0" showInputMessage="0" showErrorMessage="0" allowBlank="1" errorTitle="Invalid Entry" error="Please select from the list." type="list">
      <formula1>=Lookups!$M$2:$M$7</formula1>
    </dataValidation>
    <dataValidation sqref="W2:W1000" showDropDown="0" showInputMessage="0" showErrorMessage="0" allowBlank="1" errorTitle="Invalid Entry" error="Please select from the list." type="list">
      <formula1>=Lookups!$N$2:$N$5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8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4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3" t="inlineStr">
        <is>
          <t>VehicleID</t>
        </is>
      </c>
      <c r="B1" s="13" t="inlineStr">
        <is>
          <t>RegistrationNo</t>
        </is>
      </c>
      <c r="C1" s="13" t="inlineStr">
        <is>
          <t>Make</t>
        </is>
      </c>
      <c r="D1" s="13" t="inlineStr">
        <is>
          <t>Model</t>
        </is>
      </c>
      <c r="E1" s="13" t="inlineStr">
        <is>
          <t>Year</t>
        </is>
      </c>
      <c r="F1" s="13" t="inlineStr">
        <is>
          <t>VehicleType</t>
        </is>
      </c>
      <c r="G1" s="13" t="inlineStr">
        <is>
          <t>AssignedUnit</t>
        </is>
      </c>
      <c r="H1" s="13" t="inlineStr">
        <is>
          <t>AssignedStation</t>
        </is>
      </c>
      <c r="I1" s="13" t="inlineStr">
        <is>
          <t>CurrentStatus</t>
        </is>
      </c>
      <c r="J1" s="13" t="inlineStr">
        <is>
          <t>Mileage</t>
        </is>
      </c>
      <c r="K1" s="13" t="inlineStr">
        <is>
          <t>LastServiceDate</t>
        </is>
      </c>
      <c r="L1" s="13" t="inlineStr">
        <is>
          <t>NextServiceDue</t>
        </is>
      </c>
      <c r="M1" s="13" t="inlineStr">
        <is>
          <t>InsuranceExpiry</t>
        </is>
      </c>
      <c r="N1" s="13" t="inlineStr">
        <is>
          <t>FitnessExpiry</t>
        </is>
      </c>
      <c r="O1" s="13" t="inlineStr">
        <is>
          <t>FuelType</t>
        </is>
      </c>
      <c r="P1" s="13" t="inlineStr">
        <is>
          <t>TankCapacity_L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LastUpdatedBy</t>
        </is>
      </c>
      <c r="U1" s="13" t="inlineStr">
        <is>
          <t>LastUpdatedDate</t>
        </is>
      </c>
    </row>
    <row r="2">
      <c r="A2" s="14">
        <f>IF(B2="","","VEH-"&amp;TEXT(ROW()-1,"0000"))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</row>
    <row r="3">
      <c r="A3" s="14">
        <f>IF(B3="","","VEH-"&amp;TEXT(ROW()-1,"0000"))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</row>
    <row r="4">
      <c r="A4" s="14">
        <f>IF(B4="","","VEH-"&amp;TEXT(ROW()-1,"0000"))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</row>
    <row r="5">
      <c r="A5" s="14">
        <f>IF(B5="","","VEH-"&amp;TEXT(ROW()-1,"0000"))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</row>
    <row r="6">
      <c r="A6" s="14">
        <f>IF(B6="","","VEH-"&amp;TEXT(ROW()-1,"0000"))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</row>
  </sheetData>
  <conditionalFormatting sqref="L2:L1000">
    <cfRule type="expression" priority="1" dxfId="0">
      <formula>=AND(L2&lt;&gt;"",L2&lt;TODAY())</formula>
    </cfRule>
  </conditionalFormatting>
  <conditionalFormatting sqref="M2:M1000">
    <cfRule type="expression" priority="2" dxfId="0">
      <formula>=AND(M2&lt;&gt;"",M2&lt;TODAY())</formula>
    </cfRule>
  </conditionalFormatting>
  <conditionalFormatting sqref="N2:N1000">
    <cfRule type="expression" priority="3" dxfId="0">
      <formula>=AND(N2&lt;&gt;"",N2&lt;TODAY())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=Lookups!$E$2:$E$11</formula1>
    </dataValidation>
    <dataValidation sqref="I2:I1000" showDropDown="0" showInputMessage="0" showErrorMessage="0" allowBlank="1" errorTitle="Invalid Entry" error="Please select from the list." type="list">
      <formula1>=Lookups!$O$2:$O$6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6" customWidth="1" min="14" max="14"/>
    <col width="24" customWidth="1" min="15" max="15"/>
    <col width="14" customWidth="1" min="16" max="16"/>
    <col width="14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3" t="inlineStr">
        <is>
          <t>UsageID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Purpose</t>
        </is>
      </c>
      <c r="F1" s="13" t="inlineStr">
        <is>
          <t>LinkedOpsID</t>
        </is>
      </c>
      <c r="G1" s="13" t="inlineStr">
        <is>
          <t>LinkedCaseID</t>
        </is>
      </c>
      <c r="H1" s="13" t="inlineStr">
        <is>
          <t>DepartureTime</t>
        </is>
      </c>
      <c r="I1" s="13" t="inlineStr">
        <is>
          <t>ReturnTime</t>
        </is>
      </c>
      <c r="J1" s="13" t="inlineStr">
        <is>
          <t>StartMileage</t>
        </is>
      </c>
      <c r="K1" s="13" t="inlineStr">
        <is>
          <t>EndMileage</t>
        </is>
      </c>
      <c r="L1" s="13" t="inlineStr">
        <is>
          <t>DistanceKm</t>
        </is>
      </c>
      <c r="M1" s="13" t="inlineStr">
        <is>
          <t>Unit</t>
        </is>
      </c>
      <c r="N1" s="13" t="inlineStr">
        <is>
          <t>Parish</t>
        </is>
      </c>
      <c r="O1" s="13" t="inlineStr">
        <is>
          <t>Notes</t>
        </is>
      </c>
      <c r="P1" s="13" t="inlineStr">
        <is>
          <t>CreatedBy</t>
        </is>
      </c>
      <c r="Q1" s="13" t="inlineStr">
        <is>
          <t>CreatedDate</t>
        </is>
      </c>
      <c r="R1" s="13" t="inlineStr">
        <is>
          <t>Week</t>
        </is>
      </c>
      <c r="S1" s="13" t="inlineStr">
        <is>
          <t>Month</t>
        </is>
      </c>
      <c r="T1" s="13" t="inlineStr">
        <is>
          <t>Quarter</t>
        </is>
      </c>
      <c r="U1" s="13" t="inlineStr">
        <is>
          <t>Year</t>
        </is>
      </c>
    </row>
    <row r="2">
      <c r="A2" s="14">
        <f>IF(B2="","","USE-"&amp;TEXT(ROW()-1,"0000"))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IF(OR(J2="",K2=""),"",K2-J2)</f>
        <v/>
      </c>
      <c r="M2" s="14" t="n"/>
      <c r="N2" s="14" t="n"/>
      <c r="O2" s="14" t="n"/>
      <c r="P2" s="14" t="n"/>
      <c r="Q2" s="14" t="n"/>
      <c r="R2" s="14">
        <f>IF(C2="","",WEEKNUM(C2))</f>
        <v/>
      </c>
      <c r="S2" s="14">
        <f>IF(C2="","",MONTH(C2))</f>
        <v/>
      </c>
      <c r="T2" s="14">
        <f>IF(C2="","",ROUNDUP(MONTH(C2)/3,0))</f>
        <v/>
      </c>
      <c r="U2" s="14">
        <f>IF(C2="","",YEAR(C2))</f>
        <v/>
      </c>
    </row>
    <row r="3">
      <c r="A3" s="14">
        <f>IF(B3="","","USE-"&amp;TEXT(ROW()-1,"0000"))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IF(OR(J3="",K3=""),"",K3-J3)</f>
        <v/>
      </c>
      <c r="M3" s="14" t="n"/>
      <c r="N3" s="14" t="n"/>
      <c r="O3" s="14" t="n"/>
      <c r="P3" s="14" t="n"/>
      <c r="Q3" s="14" t="n"/>
      <c r="R3" s="14">
        <f>IF(C3="","",WEEKNUM(C3))</f>
        <v/>
      </c>
      <c r="S3" s="14">
        <f>IF(C3="","",MONTH(C3))</f>
        <v/>
      </c>
      <c r="T3" s="14">
        <f>IF(C3="","",ROUNDUP(MONTH(C3)/3,0))</f>
        <v/>
      </c>
      <c r="U3" s="14">
        <f>IF(C3="","",YEAR(C3))</f>
        <v/>
      </c>
    </row>
    <row r="4">
      <c r="A4" s="14">
        <f>IF(B4="","","USE-"&amp;TEXT(ROW()-1,"0000"))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IF(OR(J4="",K4=""),"",K4-J4)</f>
        <v/>
      </c>
      <c r="M4" s="14" t="n"/>
      <c r="N4" s="14" t="n"/>
      <c r="O4" s="14" t="n"/>
      <c r="P4" s="14" t="n"/>
      <c r="Q4" s="14" t="n"/>
      <c r="R4" s="14">
        <f>IF(C4="","",WEEKNUM(C4))</f>
        <v/>
      </c>
      <c r="S4" s="14">
        <f>IF(C4="","",MONTH(C4))</f>
        <v/>
      </c>
      <c r="T4" s="14">
        <f>IF(C4="","",ROUNDUP(MONTH(C4)/3,0))</f>
        <v/>
      </c>
      <c r="U4" s="14">
        <f>IF(C4="","",YEAR(C4))</f>
        <v/>
      </c>
    </row>
    <row r="5">
      <c r="A5" s="14">
        <f>IF(B5="","","USE-"&amp;TEXT(ROW()-1,"0000"))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IF(OR(J5="",K5=""),"",K5-J5)</f>
        <v/>
      </c>
      <c r="M5" s="14" t="n"/>
      <c r="N5" s="14" t="n"/>
      <c r="O5" s="14" t="n"/>
      <c r="P5" s="14" t="n"/>
      <c r="Q5" s="14" t="n"/>
      <c r="R5" s="14">
        <f>IF(C5="","",WEEKNUM(C5))</f>
        <v/>
      </c>
      <c r="S5" s="14">
        <f>IF(C5="","",MONTH(C5))</f>
        <v/>
      </c>
      <c r="T5" s="14">
        <f>IF(C5="","",ROUNDUP(MONTH(C5)/3,0))</f>
        <v/>
      </c>
      <c r="U5" s="14">
        <f>IF(C5="","",YEAR(C5))</f>
        <v/>
      </c>
    </row>
    <row r="6">
      <c r="A6" s="14">
        <f>IF(B6="","","USE-"&amp;TEXT(ROW()-1,"0000"))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IF(OR(J6="",K6=""),"",K6-J6)</f>
        <v/>
      </c>
      <c r="M6" s="14" t="n"/>
      <c r="N6" s="14" t="n"/>
      <c r="O6" s="14" t="n"/>
      <c r="P6" s="14" t="n"/>
      <c r="Q6" s="14" t="n"/>
      <c r="R6" s="14">
        <f>IF(C6="","",WEEKNUM(C6))</f>
        <v/>
      </c>
      <c r="S6" s="14">
        <f>IF(C6="","",MONTH(C6))</f>
        <v/>
      </c>
      <c r="T6" s="14">
        <f>IF(C6="","",ROUNDUP(MONTH(C6)/3,0))</f>
        <v/>
      </c>
      <c r="U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2" customWidth="1" min="5" max="5"/>
    <col width="10" customWidth="1" min="6" max="6"/>
    <col width="12" customWidth="1" min="7" max="7"/>
    <col width="14" customWidth="1" min="8" max="8"/>
    <col width="16" customWidth="1" min="9" max="9"/>
    <col width="14" customWidth="1" min="10" max="10"/>
    <col width="24" customWidth="1" min="11" max="11"/>
    <col width="14" customWidth="1" min="12" max="12"/>
    <col width="14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3" t="inlineStr">
        <is>
          <t>FuelID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FuelType</t>
        </is>
      </c>
      <c r="F1" s="13" t="inlineStr">
        <is>
          <t>Litres</t>
        </is>
      </c>
      <c r="G1" s="13" t="inlineStr">
        <is>
          <t>Cost</t>
        </is>
      </c>
      <c r="H1" s="13" t="inlineStr">
        <is>
          <t>Mileage_AtFill</t>
        </is>
      </c>
      <c r="I1" s="13" t="inlineStr">
        <is>
          <t>Station</t>
        </is>
      </c>
      <c r="J1" s="13" t="inlineStr">
        <is>
          <t>ReceiptNo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Week</t>
        </is>
      </c>
      <c r="O1" s="13" t="inlineStr">
        <is>
          <t>Month</t>
        </is>
      </c>
      <c r="P1" s="13" t="inlineStr">
        <is>
          <t>Quarter</t>
        </is>
      </c>
      <c r="Q1" s="13" t="inlineStr">
        <is>
          <t>Year</t>
        </is>
      </c>
    </row>
    <row r="2">
      <c r="A2" s="14">
        <f>IF(B2="","","FUEL-"&amp;TEXT(ROW()-1,"0000"))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>
        <f>IF(C2="","",WEEKNUM(C2))</f>
        <v/>
      </c>
      <c r="O2" s="14">
        <f>IF(C2="","",MONTH(C2))</f>
        <v/>
      </c>
      <c r="P2" s="14">
        <f>IF(C2="","",ROUNDUP(MONTH(C2)/3,0))</f>
        <v/>
      </c>
      <c r="Q2" s="14">
        <f>IF(C2="","",YEAR(C2))</f>
        <v/>
      </c>
    </row>
    <row r="3">
      <c r="A3" s="14">
        <f>IF(B3="","","FUEL-"&amp;TEXT(ROW()-1,"0000"))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>
        <f>IF(C3="","",WEEKNUM(C3))</f>
        <v/>
      </c>
      <c r="O3" s="14">
        <f>IF(C3="","",MONTH(C3))</f>
        <v/>
      </c>
      <c r="P3" s="14">
        <f>IF(C3="","",ROUNDUP(MONTH(C3)/3,0))</f>
        <v/>
      </c>
      <c r="Q3" s="14">
        <f>IF(C3="","",YEAR(C3))</f>
        <v/>
      </c>
    </row>
    <row r="4">
      <c r="A4" s="14">
        <f>IF(B4="","","FUEL-"&amp;TEXT(ROW()-1,"0000"))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>
        <f>IF(C4="","",WEEKNUM(C4))</f>
        <v/>
      </c>
      <c r="O4" s="14">
        <f>IF(C4="","",MONTH(C4))</f>
        <v/>
      </c>
      <c r="P4" s="14">
        <f>IF(C4="","",ROUNDUP(MONTH(C4)/3,0))</f>
        <v/>
      </c>
      <c r="Q4" s="14">
        <f>IF(C4="","",YEAR(C4))</f>
        <v/>
      </c>
    </row>
    <row r="5">
      <c r="A5" s="14">
        <f>IF(B5="","","FUEL-"&amp;TEXT(ROW()-1,"0000"))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>
        <f>IF(C5="","",WEEKNUM(C5))</f>
        <v/>
      </c>
      <c r="O5" s="14">
        <f>IF(C5="","",MONTH(C5))</f>
        <v/>
      </c>
      <c r="P5" s="14">
        <f>IF(C5="","",ROUNDUP(MONTH(C5)/3,0))</f>
        <v/>
      </c>
      <c r="Q5" s="14">
        <f>IF(C5="","",YEAR(C5))</f>
        <v/>
      </c>
    </row>
    <row r="6">
      <c r="A6" s="14">
        <f>IF(B6="","","FUEL-"&amp;TEXT(ROW()-1,"0000"))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>
        <f>IF(C6="","",WEEKNUM(C6))</f>
        <v/>
      </c>
      <c r="O6" s="14">
        <f>IF(C6="","",MONTH(C6))</f>
        <v/>
      </c>
      <c r="P6" s="14">
        <f>IF(C6="","",ROUNDUP(MONTH(C6)/3,0))</f>
        <v/>
      </c>
      <c r="Q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8" customWidth="1" min="4" max="4"/>
    <col width="20" customWidth="1" min="5" max="5"/>
    <col width="14" customWidth="1" min="6" max="6"/>
    <col width="14" customWidth="1" min="7" max="7"/>
    <col width="12" customWidth="1" min="8" max="8"/>
    <col width="12" customWidth="1" min="9" max="9"/>
    <col width="24" customWidth="1" min="10" max="10"/>
    <col width="14" customWidth="1" min="11" max="11"/>
    <col width="12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MaintID</t>
        </is>
      </c>
      <c r="B1" s="13" t="inlineStr">
        <is>
          <t>VehicleID</t>
        </is>
      </c>
      <c r="C1" s="13" t="inlineStr">
        <is>
          <t>MaintenanceType</t>
        </is>
      </c>
      <c r="D1" s="13" t="inlineStr">
        <is>
          <t>Description</t>
        </is>
      </c>
      <c r="E1" s="13" t="inlineStr">
        <is>
          <t>ServiceProvider</t>
        </is>
      </c>
      <c r="F1" s="13" t="inlineStr">
        <is>
          <t>DateIn</t>
        </is>
      </c>
      <c r="G1" s="13" t="inlineStr">
        <is>
          <t>DateOut</t>
        </is>
      </c>
      <c r="H1" s="13" t="inlineStr">
        <is>
          <t>Cost</t>
        </is>
      </c>
      <c r="I1" s="13" t="inlineStr">
        <is>
          <t>Mileage</t>
        </is>
      </c>
      <c r="J1" s="13" t="inlineStr">
        <is>
          <t>PartsReplaced</t>
        </is>
      </c>
      <c r="K1" s="13" t="inlineStr">
        <is>
          <t>NextServiceDue</t>
        </is>
      </c>
      <c r="L1" s="13" t="inlineStr">
        <is>
          <t>DowntimeDays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IF(B2="","","MAINT-"&amp;TEXT(ROW()-1,"0000"))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IF(OR(F2="",G2=""),"",G2-F2)</f>
        <v/>
      </c>
      <c r="M2" s="14" t="n"/>
      <c r="N2" s="14" t="n"/>
      <c r="O2" s="14" t="n"/>
      <c r="P2" s="14" t="n"/>
      <c r="Q2" s="14" t="n"/>
    </row>
    <row r="3">
      <c r="A3" s="14">
        <f>IF(B3="","","MAINT-"&amp;TEXT(ROW()-1,"0000"))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IF(OR(F3="",G3=""),"",G3-F3)</f>
        <v/>
      </c>
      <c r="M3" s="14" t="n"/>
      <c r="N3" s="14" t="n"/>
      <c r="O3" s="14" t="n"/>
      <c r="P3" s="14" t="n"/>
      <c r="Q3" s="14" t="n"/>
    </row>
    <row r="4">
      <c r="A4" s="14">
        <f>IF(B4="","","MAINT-"&amp;TEXT(ROW()-1,"0000"))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IF(OR(F4="",G4=""),"",G4-F4)</f>
        <v/>
      </c>
      <c r="M4" s="14" t="n"/>
      <c r="N4" s="14" t="n"/>
      <c r="O4" s="14" t="n"/>
      <c r="P4" s="14" t="n"/>
      <c r="Q4" s="14" t="n"/>
    </row>
    <row r="5">
      <c r="A5" s="14">
        <f>IF(B5="","","MAINT-"&amp;TEXT(ROW()-1,"0000"))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IF(OR(F5="",G5=""),"",G5-F5)</f>
        <v/>
      </c>
      <c r="M5" s="14" t="n"/>
      <c r="N5" s="14" t="n"/>
      <c r="O5" s="14" t="n"/>
      <c r="P5" s="14" t="n"/>
      <c r="Q5" s="14" t="n"/>
    </row>
    <row r="6">
      <c r="A6" s="14">
        <f>IF(B6="","","MAINT-"&amp;TEXT(ROW()-1,"0000"))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IF(OR(F6="",G6=""),"",G6-F6)</f>
        <v/>
      </c>
      <c r="M6" s="14" t="n"/>
      <c r="N6" s="14" t="n"/>
      <c r="O6" s="14" t="n"/>
      <c r="P6" s="14" t="n"/>
      <c r="Q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20" customWidth="1" min="10" max="10"/>
    <col width="14" customWidth="1" min="11" max="11"/>
    <col width="14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DriverID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LicenseNo</t>
        </is>
      </c>
      <c r="H1" s="13" t="inlineStr">
        <is>
          <t>LicenseExpiry</t>
        </is>
      </c>
      <c r="I1" s="13" t="inlineStr">
        <is>
          <t>LicenseClass</t>
        </is>
      </c>
      <c r="J1" s="13" t="inlineStr">
        <is>
          <t>DefensiveDrivingCert</t>
        </is>
      </c>
      <c r="K1" s="13" t="inlineStr">
        <is>
          <t>CertExpiry</t>
        </is>
      </c>
      <c r="L1" s="13" t="inlineStr">
        <is>
          <t>Status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IF(B2="","","DRV-"&amp;TEXT(ROW()-1,"0000"))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</row>
    <row r="3">
      <c r="A3" s="14">
        <f>IF(B3="","","DRV-"&amp;TEXT(ROW()-1,"0000"))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</row>
    <row r="4">
      <c r="A4" s="14">
        <f>IF(B4="","","DRV-"&amp;TEXT(ROW()-1,"0000"))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</row>
    <row r="5">
      <c r="A5" s="14">
        <f>IF(B5="","","DRV-"&amp;TEXT(ROW()-1,"0000"))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</row>
    <row r="6">
      <c r="A6" s="14">
        <f>IF(B6="","","DRV-"&amp;TEXT(ROW()-1,"0000"))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</row>
  </sheetData>
  <conditionalFormatting sqref="H2:H1000">
    <cfRule type="expression" priority="1" dxfId="0">
      <formula>=AND(H2&lt;&gt;"",H2&lt;TODAY())</formula>
    </cfRule>
  </conditionalFormatting>
  <dataValidations count="2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0B050"/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18" customWidth="1" min="5" max="5"/>
    <col width="20" customWidth="1" min="6" max="6"/>
    <col width="24" customWidth="1" min="7" max="7"/>
    <col width="18" customWidth="1" min="8" max="8"/>
    <col width="18" customWidth="1" min="9" max="9"/>
    <col width="12" customWidth="1" min="10" max="10"/>
    <col width="12" customWidth="1" min="11" max="11"/>
    <col width="20" customWidth="1" min="12" max="12"/>
    <col width="22" customWidth="1" min="13" max="13"/>
    <col width="24" customWidth="1" min="14" max="14"/>
    <col width="24" customWidth="1" min="15" max="15"/>
    <col width="14" customWidth="1" min="16" max="16"/>
    <col width="14" customWidth="1" min="17" max="17"/>
    <col width="10" customWidth="1" min="18" max="18"/>
    <col width="24" customWidth="1" min="19" max="19"/>
    <col width="14" customWidth="1" min="20" max="20"/>
    <col width="14" customWidth="1" min="21" max="21"/>
    <col width="14" customWidth="1" min="22" max="22"/>
    <col width="14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>
      <c r="A1" s="13" t="inlineStr">
        <is>
          <t>LectureID</t>
        </is>
      </c>
      <c r="B1" s="13" t="inlineStr">
        <is>
          <t>Date</t>
        </is>
      </c>
      <c r="C1" s="13" t="inlineStr">
        <is>
          <t>Location</t>
        </is>
      </c>
      <c r="D1" s="13" t="inlineStr">
        <is>
          <t>Parish</t>
        </is>
      </c>
      <c r="E1" s="13" t="inlineStr">
        <is>
          <t>Community</t>
        </is>
      </c>
      <c r="F1" s="13" t="inlineStr">
        <is>
          <t>Venue</t>
        </is>
      </c>
      <c r="G1" s="13" t="inlineStr">
        <is>
          <t>Topic</t>
        </is>
      </c>
      <c r="H1" s="13" t="inlineStr">
        <is>
          <t>Presenter</t>
        </is>
      </c>
      <c r="I1" s="13" t="inlineStr">
        <is>
          <t>TargetAudience</t>
        </is>
      </c>
      <c r="J1" s="13" t="inlineStr">
        <is>
          <t>Attendance</t>
        </is>
      </c>
      <c r="K1" s="13" t="inlineStr">
        <is>
          <t>Duration_Hrs</t>
        </is>
      </c>
      <c r="L1" s="13" t="inlineStr">
        <is>
          <t>MaterialsUsed</t>
        </is>
      </c>
      <c r="M1" s="13" t="inlineStr">
        <is>
          <t>PartnerOrganizations</t>
        </is>
      </c>
      <c r="N1" s="13" t="inlineStr">
        <is>
          <t>Outcome</t>
        </is>
      </c>
      <c r="O1" s="13" t="inlineStr">
        <is>
          <t>Feedback</t>
        </is>
      </c>
      <c r="P1" s="13" t="inlineStr">
        <is>
          <t>FollowUpPlanned</t>
        </is>
      </c>
      <c r="Q1" s="13" t="inlineStr">
        <is>
          <t>FollowUpDate</t>
        </is>
      </c>
      <c r="R1" s="13" t="inlineStr">
        <is>
          <t>Photos_YN</t>
        </is>
      </c>
      <c r="S1" s="13" t="inlineStr">
        <is>
          <t>Notes</t>
        </is>
      </c>
      <c r="T1" s="13" t="inlineStr">
        <is>
          <t>CreatedBy</t>
        </is>
      </c>
      <c r="U1" s="13" t="inlineStr">
        <is>
          <t>CreatedDate</t>
        </is>
      </c>
      <c r="V1" s="13" t="inlineStr">
        <is>
          <t>LastUpdatedBy</t>
        </is>
      </c>
      <c r="W1" s="13" t="inlineStr">
        <is>
          <t>LastUpdatedDate</t>
        </is>
      </c>
      <c r="X1" s="13" t="inlineStr">
        <is>
          <t>Week</t>
        </is>
      </c>
      <c r="Y1" s="13" t="inlineStr">
        <is>
          <t>Month</t>
        </is>
      </c>
      <c r="Z1" s="13" t="inlineStr">
        <is>
          <t>Quarter</t>
        </is>
      </c>
      <c r="AA1" s="13" t="inlineStr">
        <is>
          <t>Year</t>
        </is>
      </c>
    </row>
    <row r="2">
      <c r="A2" s="14">
        <f>IF(B2="","","LEC-"&amp;TEXT(ROW()-1,"0000"))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>
        <f>IF(B2="","",WEEKNUM(B2))</f>
        <v/>
      </c>
      <c r="Y2" s="14">
        <f>IF(B2="","",MONTH(B2))</f>
        <v/>
      </c>
      <c r="Z2" s="14">
        <f>IF(B2="","",ROUNDUP(MONTH(B2)/3,0))</f>
        <v/>
      </c>
      <c r="AA2" s="14">
        <f>IF(B2="","",YEAR(B2))</f>
        <v/>
      </c>
    </row>
    <row r="3">
      <c r="A3" s="14">
        <f>IF(B3="","","LEC-"&amp;TEXT(ROW()-1,"0000"))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>
        <f>IF(B3="","",WEEKNUM(B3))</f>
        <v/>
      </c>
      <c r="Y3" s="14">
        <f>IF(B3="","",MONTH(B3))</f>
        <v/>
      </c>
      <c r="Z3" s="14">
        <f>IF(B3="","",ROUNDUP(MONTH(B3)/3,0))</f>
        <v/>
      </c>
      <c r="AA3" s="14">
        <f>IF(B3="","",YEAR(B3))</f>
        <v/>
      </c>
    </row>
    <row r="4">
      <c r="A4" s="14">
        <f>IF(B4="","","LEC-"&amp;TEXT(ROW()-1,"0000"))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>
        <f>IF(B4="","",WEEKNUM(B4))</f>
        <v/>
      </c>
      <c r="Y4" s="14">
        <f>IF(B4="","",MONTH(B4))</f>
        <v/>
      </c>
      <c r="Z4" s="14">
        <f>IF(B4="","",ROUNDUP(MONTH(B4)/3,0))</f>
        <v/>
      </c>
      <c r="AA4" s="14">
        <f>IF(B4="","",YEAR(B4))</f>
        <v/>
      </c>
    </row>
    <row r="5">
      <c r="A5" s="14">
        <f>IF(B5="","","LEC-"&amp;TEXT(ROW()-1,"0000"))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>
        <f>IF(B5="","",WEEKNUM(B5))</f>
        <v/>
      </c>
      <c r="Y5" s="14">
        <f>IF(B5="","",MONTH(B5))</f>
        <v/>
      </c>
      <c r="Z5" s="14">
        <f>IF(B5="","",ROUNDUP(MONTH(B5)/3,0))</f>
        <v/>
      </c>
      <c r="AA5" s="14">
        <f>IF(B5="","",YEAR(B5))</f>
        <v/>
      </c>
    </row>
    <row r="6">
      <c r="A6" s="14">
        <f>IF(B6="","","LEC-"&amp;TEXT(ROW()-1,"0000"))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>
        <f>IF(B6="","",WEEKNUM(B6))</f>
        <v/>
      </c>
      <c r="Y6" s="14">
        <f>IF(B6="","",MONTH(B6))</f>
        <v/>
      </c>
      <c r="Z6" s="14">
        <f>IF(B6="","",ROUNDUP(MONTH(B6)/3,0))</f>
        <v/>
      </c>
      <c r="AA6" s="14">
        <f>IF(B6="","",YEAR(B6))</f>
        <v/>
      </c>
    </row>
  </sheetData>
  <dataValidations count="2">
    <dataValidation sqref="D2:D1000" showDropDown="0" showInputMessage="0" showErrorMessage="0" allowBlank="1" errorTitle="Invalid Entry" error="Please select from the list." type="list">
      <formula1>=Lookups!$D$2:$D$16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02060"/>
    <outlinePr summaryBelow="1" summaryRight="1"/>
    <pageSetUpPr/>
  </sheetPr>
  <dimension ref="A1:AC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22" customWidth="1" min="4" max="4"/>
    <col width="30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20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3" t="inlineStr">
        <is>
          <t>PlanID</t>
        </is>
      </c>
      <c r="B1" s="13" t="inlineStr">
        <is>
          <t>Unit</t>
        </is>
      </c>
      <c r="C1" s="13" t="inlineStr">
        <is>
          <t>StrategicObjective</t>
        </is>
      </c>
      <c r="D1" s="13" t="inlineStr">
        <is>
          <t>KPI_Name</t>
        </is>
      </c>
      <c r="E1" s="13" t="inlineStr">
        <is>
          <t>KPI_Description</t>
        </is>
      </c>
      <c r="F1" s="13" t="inlineStr">
        <is>
          <t>Frequency</t>
        </is>
      </c>
      <c r="G1" s="13" t="inlineStr">
        <is>
          <t>Target_Daily</t>
        </is>
      </c>
      <c r="H1" s="13" t="inlineStr">
        <is>
          <t>Target_Monthly</t>
        </is>
      </c>
      <c r="I1" s="13" t="inlineStr">
        <is>
          <t>Target_Quarterly</t>
        </is>
      </c>
      <c r="J1" s="13" t="inlineStr">
        <is>
          <t>Target_Annual</t>
        </is>
      </c>
      <c r="K1" s="13" t="inlineStr">
        <is>
          <t>Actual_MTD</t>
        </is>
      </c>
      <c r="L1" s="13" t="inlineStr">
        <is>
          <t>Actual_QTD</t>
        </is>
      </c>
      <c r="M1" s="13" t="inlineStr">
        <is>
          <t>Actual_YTD</t>
        </is>
      </c>
      <c r="N1" s="13" t="inlineStr">
        <is>
          <t>Variance_Monthly</t>
        </is>
      </c>
      <c r="O1" s="13" t="inlineStr">
        <is>
          <t>Variance_Quarterly</t>
        </is>
      </c>
      <c r="P1" s="13" t="inlineStr">
        <is>
          <t>Variance_Annual</t>
        </is>
      </c>
      <c r="Q1" s="13" t="inlineStr">
        <is>
          <t>Achievement_Pct_Monthly</t>
        </is>
      </c>
      <c r="R1" s="13" t="inlineStr">
        <is>
          <t>Achievement_Pct_Quarterly</t>
        </is>
      </c>
      <c r="S1" s="13" t="inlineStr">
        <is>
          <t>Achievement_Pct_Annual</t>
        </is>
      </c>
      <c r="T1" s="13" t="inlineStr">
        <is>
          <t>TrafficLight_Monthly</t>
        </is>
      </c>
      <c r="U1" s="13" t="inlineStr">
        <is>
          <t>TrafficLight_Quarterly</t>
        </is>
      </c>
      <c r="V1" s="13" t="inlineStr">
        <is>
          <t>TrafficLight_Annual</t>
        </is>
      </c>
      <c r="W1" s="13" t="inlineStr">
        <is>
          <t>DataSource</t>
        </is>
      </c>
      <c r="X1" s="13" t="inlineStr">
        <is>
          <t>Formula_Reference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</row>
    <row r="2">
      <c r="A2" s="14" t="inlineStr">
        <is>
          <t>KPI-0001</t>
        </is>
      </c>
      <c r="B2" s="14" t="inlineStr">
        <is>
          <t>Registry</t>
        </is>
      </c>
      <c r="C2" s="14" t="inlineStr">
        <is>
          <t>Case Processing Efficiency</t>
        </is>
      </c>
      <c r="D2" s="14" t="inlineStr">
        <is>
          <t>Cases Registered</t>
        </is>
      </c>
      <c r="E2" s="14" t="inlineStr">
        <is>
          <t>Total new cases registered</t>
        </is>
      </c>
      <c r="F2" s="14" t="inlineStr">
        <is>
          <t>Monthly</t>
        </is>
      </c>
      <c r="G2" s="14" t="n"/>
      <c r="H2" s="14" t="n"/>
      <c r="I2" s="14" t="n"/>
      <c r="J2" s="14" t="n"/>
      <c r="K2" s="14" t="n"/>
      <c r="L2" s="14" t="n"/>
      <c r="M2" s="14" t="n"/>
      <c r="N2" s="14">
        <f>IF(OR(K2="",H2=""),"",K2-H2)</f>
        <v/>
      </c>
      <c r="O2" s="14">
        <f>IF(OR(L2="",I2=""),"",L2-I2)</f>
        <v/>
      </c>
      <c r="P2" s="14">
        <f>IF(OR(M2="",J2=""),"",M2-J2)</f>
        <v/>
      </c>
      <c r="Q2" s="16">
        <f>IF(OR(K2="",H2="",H2=0),"",K2/H2)</f>
        <v/>
      </c>
      <c r="R2" s="16">
        <f>IF(OR(L2="",I2="",I2=0),"",L2/I2)</f>
        <v/>
      </c>
      <c r="S2" s="16">
        <f>IF(OR(M2="",J2="",J2=0),"",M2/J2)</f>
        <v/>
      </c>
      <c r="T2" s="14">
        <f>IF(Q2="","",IF(Q2&gt;=0.9,"On Track",IF(Q2&gt;=0.7,"At Risk","Off Track")))</f>
        <v/>
      </c>
      <c r="U2" s="14">
        <f>IF(R2="","",IF(R2&gt;=0.9,"On Track",IF(R2&gt;=0.7,"At Risk","Off Track")))</f>
        <v/>
      </c>
      <c r="V2" s="14">
        <f>IF(S2="","",IF(S2&gt;=0.9,"On Track",IF(S2&gt;=0.7,"At Risk","Off Track")))</f>
        <v/>
      </c>
      <c r="W2" s="14" t="inlineStr">
        <is>
          <t>tbl_Cases</t>
        </is>
      </c>
      <c r="X2" s="14" t="n"/>
      <c r="Y2" s="14" t="n"/>
      <c r="Z2" s="14" t="n"/>
      <c r="AA2" s="14" t="n"/>
      <c r="AB2" s="14" t="n"/>
      <c r="AC2" s="14" t="n"/>
    </row>
    <row r="3">
      <c r="A3" s="14" t="inlineStr">
        <is>
          <t>KPI-0002</t>
        </is>
      </c>
      <c r="B3" s="14" t="inlineStr">
        <is>
          <t>Registry</t>
        </is>
      </c>
      <c r="C3" s="14" t="inlineStr">
        <is>
          <t>Case Processing Efficiency</t>
        </is>
      </c>
      <c r="D3" s="14" t="inlineStr">
        <is>
          <t>CR Compliance Rate</t>
        </is>
      </c>
      <c r="E3" s="14" t="inlineStr">
        <is>
          <t>% of cases with compliant CR1/CR2/CR5</t>
        </is>
      </c>
      <c r="F3" s="14" t="inlineStr">
        <is>
          <t>Monthly</t>
        </is>
      </c>
      <c r="G3" s="14" t="n"/>
      <c r="H3" s="14" t="n"/>
      <c r="I3" s="14" t="n"/>
      <c r="J3" s="14" t="n"/>
      <c r="K3" s="14" t="n"/>
      <c r="L3" s="14" t="n"/>
      <c r="M3" s="14" t="n"/>
      <c r="N3" s="14">
        <f>IF(OR(K3="",H3=""),"",K3-H3)</f>
        <v/>
      </c>
      <c r="O3" s="14">
        <f>IF(OR(L3="",I3=""),"",L3-I3)</f>
        <v/>
      </c>
      <c r="P3" s="14">
        <f>IF(OR(M3="",J3=""),"",M3-J3)</f>
        <v/>
      </c>
      <c r="Q3" s="16">
        <f>IF(OR(K3="",H3="",H3=0),"",K3/H3)</f>
        <v/>
      </c>
      <c r="R3" s="16">
        <f>IF(OR(L3="",I3="",I3=0),"",L3/I3)</f>
        <v/>
      </c>
      <c r="S3" s="16">
        <f>IF(OR(M3="",J3="",J3=0),"",M3/J3)</f>
        <v/>
      </c>
      <c r="T3" s="14">
        <f>IF(Q3="","",IF(Q3&gt;=0.9,"On Track",IF(Q3&gt;=0.7,"At Risk","Off Track")))</f>
        <v/>
      </c>
      <c r="U3" s="14">
        <f>IF(R3="","",IF(R3&gt;=0.9,"On Track",IF(R3&gt;=0.7,"At Risk","Off Track")))</f>
        <v/>
      </c>
      <c r="V3" s="14">
        <f>IF(S3="","",IF(S3&gt;=0.9,"On Track",IF(S3&gt;=0.7,"At Risk","Off Track")))</f>
        <v/>
      </c>
      <c r="W3" s="14" t="inlineStr">
        <is>
          <t>tbl_Cases</t>
        </is>
      </c>
      <c r="X3" s="14" t="n"/>
      <c r="Y3" s="14" t="n"/>
      <c r="Z3" s="14" t="n"/>
      <c r="AA3" s="14" t="n"/>
      <c r="AB3" s="14" t="n"/>
      <c r="AC3" s="14" t="n"/>
    </row>
    <row r="4">
      <c r="A4" s="14" t="inlineStr">
        <is>
          <t>KPI-0003</t>
        </is>
      </c>
      <c r="B4" s="14" t="inlineStr">
        <is>
          <t>Registry</t>
        </is>
      </c>
      <c r="C4" s="14" t="inlineStr">
        <is>
          <t>Case Processing Efficiency</t>
        </is>
      </c>
      <c r="D4" s="14" t="inlineStr">
        <is>
          <t>Avg Days to First Action</t>
        </is>
      </c>
      <c r="E4" s="14" t="inlineStr">
        <is>
          <t>Average days from registration to first action</t>
        </is>
      </c>
      <c r="F4" s="14" t="inlineStr">
        <is>
          <t>Monthly</t>
        </is>
      </c>
      <c r="G4" s="14" t="n"/>
      <c r="H4" s="14" t="n"/>
      <c r="I4" s="14" t="n"/>
      <c r="J4" s="14" t="n"/>
      <c r="K4" s="14" t="n"/>
      <c r="L4" s="14" t="n"/>
      <c r="M4" s="14" t="n"/>
      <c r="N4" s="14">
        <f>IF(OR(K4="",H4=""),"",K4-H4)</f>
        <v/>
      </c>
      <c r="O4" s="14">
        <f>IF(OR(L4="",I4=""),"",L4-I4)</f>
        <v/>
      </c>
      <c r="P4" s="14">
        <f>IF(OR(M4="",J4=""),"",M4-J4)</f>
        <v/>
      </c>
      <c r="Q4" s="16">
        <f>IF(OR(K4="",H4="",H4=0),"",K4/H4)</f>
        <v/>
      </c>
      <c r="R4" s="16">
        <f>IF(OR(L4="",I4="",I4=0),"",L4/I4)</f>
        <v/>
      </c>
      <c r="S4" s="16">
        <f>IF(OR(M4="",J4="",J4=0),"",M4/J4)</f>
        <v/>
      </c>
      <c r="T4" s="14">
        <f>IF(Q4="","",IF(Q4&gt;=0.9,"On Track",IF(Q4&gt;=0.7,"At Risk","Off Track")))</f>
        <v/>
      </c>
      <c r="U4" s="14">
        <f>IF(R4="","",IF(R4&gt;=0.9,"On Track",IF(R4&gt;=0.7,"At Risk","Off Track")))</f>
        <v/>
      </c>
      <c r="V4" s="14">
        <f>IF(S4="","",IF(S4&gt;=0.9,"On Track",IF(S4&gt;=0.7,"At Risk","Off Track")))</f>
        <v/>
      </c>
      <c r="W4" s="14" t="inlineStr">
        <is>
          <t>tbl_Actions</t>
        </is>
      </c>
      <c r="X4" s="14" t="n"/>
      <c r="Y4" s="14" t="n"/>
      <c r="Z4" s="14" t="n"/>
      <c r="AA4" s="14" t="n"/>
      <c r="AB4" s="14" t="n"/>
      <c r="AC4" s="14" t="n"/>
    </row>
    <row r="5">
      <c r="A5" s="14" t="inlineStr">
        <is>
          <t>KPI-0004</t>
        </is>
      </c>
      <c r="B5" s="14" t="inlineStr">
        <is>
          <t>Investigations</t>
        </is>
      </c>
      <c r="C5" s="14" t="inlineStr">
        <is>
          <t>Case Resolution</t>
        </is>
      </c>
      <c r="D5" s="14" t="inlineStr">
        <is>
          <t>Active Cases</t>
        </is>
      </c>
      <c r="E5" s="14" t="inlineStr">
        <is>
          <t>Number of cases under active investigation</t>
        </is>
      </c>
      <c r="F5" s="14" t="inlineStr">
        <is>
          <t>Monthly</t>
        </is>
      </c>
      <c r="G5" s="14" t="n"/>
      <c r="H5" s="14" t="n"/>
      <c r="I5" s="14" t="n"/>
      <c r="J5" s="14" t="n"/>
      <c r="K5" s="14" t="n"/>
      <c r="L5" s="14" t="n"/>
      <c r="M5" s="14" t="n"/>
      <c r="N5" s="14">
        <f>IF(OR(K5="",H5=""),"",K5-H5)</f>
        <v/>
      </c>
      <c r="O5" s="14">
        <f>IF(OR(L5="",I5=""),"",L5-I5)</f>
        <v/>
      </c>
      <c r="P5" s="14">
        <f>IF(OR(M5="",J5=""),"",M5-J5)</f>
        <v/>
      </c>
      <c r="Q5" s="16">
        <f>IF(OR(K5="",H5="",H5=0),"",K5/H5)</f>
        <v/>
      </c>
      <c r="R5" s="16">
        <f>IF(OR(L5="",I5="",I5=0),"",L5/I5)</f>
        <v/>
      </c>
      <c r="S5" s="16">
        <f>IF(OR(M5="",J5="",J5=0),"",M5/J5)</f>
        <v/>
      </c>
      <c r="T5" s="14">
        <f>IF(Q5="","",IF(Q5&gt;=0.9,"On Track",IF(Q5&gt;=0.7,"At Risk","Off Track")))</f>
        <v/>
      </c>
      <c r="U5" s="14">
        <f>IF(R5="","",IF(R5&gt;=0.9,"On Track",IF(R5&gt;=0.7,"At Risk","Off Track")))</f>
        <v/>
      </c>
      <c r="V5" s="14">
        <f>IF(S5="","",IF(S5&gt;=0.9,"On Track",IF(S5&gt;=0.7,"At Risk","Off Track")))</f>
        <v/>
      </c>
      <c r="W5" s="14" t="inlineStr">
        <is>
          <t>tbl_Cases</t>
        </is>
      </c>
      <c r="X5" s="14" t="n"/>
      <c r="Y5" s="14" t="n"/>
      <c r="Z5" s="14" t="n"/>
      <c r="AA5" s="14" t="n"/>
      <c r="AB5" s="14" t="n"/>
      <c r="AC5" s="14" t="n"/>
    </row>
    <row r="6">
      <c r="A6" s="14" t="inlineStr">
        <is>
          <t>KPI-0005</t>
        </is>
      </c>
      <c r="B6" s="14" t="inlineStr">
        <is>
          <t>Investigations</t>
        </is>
      </c>
      <c r="C6" s="14" t="inlineStr">
        <is>
          <t>Case Resolution</t>
        </is>
      </c>
      <c r="D6" s="14" t="inlineStr">
        <is>
          <t>Cases Closed</t>
        </is>
      </c>
      <c r="E6" s="14" t="inlineStr">
        <is>
          <t>Cases resolved/closed in period</t>
        </is>
      </c>
      <c r="F6" s="14" t="inlineStr">
        <is>
          <t>Monthly</t>
        </is>
      </c>
      <c r="G6" s="14" t="n"/>
      <c r="H6" s="14" t="n"/>
      <c r="I6" s="14" t="n"/>
      <c r="J6" s="14" t="n"/>
      <c r="K6" s="14" t="n"/>
      <c r="L6" s="14" t="n"/>
      <c r="M6" s="14" t="n"/>
      <c r="N6" s="14">
        <f>IF(OR(K6="",H6=""),"",K6-H6)</f>
        <v/>
      </c>
      <c r="O6" s="14">
        <f>IF(OR(L6="",I6=""),"",L6-I6)</f>
        <v/>
      </c>
      <c r="P6" s="14">
        <f>IF(OR(M6="",J6=""),"",M6-J6)</f>
        <v/>
      </c>
      <c r="Q6" s="16">
        <f>IF(OR(K6="",H6="",H6=0),"",K6/H6)</f>
        <v/>
      </c>
      <c r="R6" s="16">
        <f>IF(OR(L6="",I6="",I6=0),"",L6/I6)</f>
        <v/>
      </c>
      <c r="S6" s="16">
        <f>IF(OR(M6="",J6="",J6=0),"",M6/J6)</f>
        <v/>
      </c>
      <c r="T6" s="14">
        <f>IF(Q6="","",IF(Q6&gt;=0.9,"On Track",IF(Q6&gt;=0.7,"At Risk","Off Track")))</f>
        <v/>
      </c>
      <c r="U6" s="14">
        <f>IF(R6="","",IF(R6&gt;=0.9,"On Track",IF(R6&gt;=0.7,"At Risk","Off Track")))</f>
        <v/>
      </c>
      <c r="V6" s="14">
        <f>IF(S6="","",IF(S6&gt;=0.9,"On Track",IF(S6&gt;=0.7,"At Risk","Off Track")))</f>
        <v/>
      </c>
      <c r="W6" s="14" t="inlineStr">
        <is>
          <t>tbl_Cases</t>
        </is>
      </c>
      <c r="X6" s="14" t="n"/>
      <c r="Y6" s="14" t="n"/>
      <c r="Z6" s="14" t="n"/>
      <c r="AA6" s="14" t="n"/>
      <c r="AB6" s="14" t="n"/>
      <c r="AC6" s="14" t="n"/>
    </row>
    <row r="7">
      <c r="A7" s="14" t="inlineStr">
        <is>
          <t>KPI-0006</t>
        </is>
      </c>
      <c r="B7" s="14" t="inlineStr">
        <is>
          <t>Investigations</t>
        </is>
      </c>
      <c r="C7" s="14" t="inlineStr">
        <is>
          <t>Case Resolution</t>
        </is>
      </c>
      <c r="D7" s="14" t="inlineStr">
        <is>
          <t>Case Clearance Rate</t>
        </is>
      </c>
      <c r="E7" s="14" t="inlineStr">
        <is>
          <t>% of cases cleared vs opened</t>
        </is>
      </c>
      <c r="F7" s="14" t="inlineStr">
        <is>
          <t>Monthly</t>
        </is>
      </c>
      <c r="G7" s="14" t="n"/>
      <c r="H7" s="14" t="n"/>
      <c r="I7" s="14" t="n"/>
      <c r="J7" s="14" t="n"/>
      <c r="K7" s="14" t="n"/>
      <c r="L7" s="14" t="n"/>
      <c r="M7" s="14" t="n"/>
      <c r="N7" s="14">
        <f>IF(OR(K7="",H7=""),"",K7-H7)</f>
        <v/>
      </c>
      <c r="O7" s="14">
        <f>IF(OR(L7="",I7=""),"",L7-I7)</f>
        <v/>
      </c>
      <c r="P7" s="14">
        <f>IF(OR(M7="",J7=""),"",M7-J7)</f>
        <v/>
      </c>
      <c r="Q7" s="16">
        <f>IF(OR(K7="",H7="",H7=0),"",K7/H7)</f>
        <v/>
      </c>
      <c r="R7" s="16">
        <f>IF(OR(L7="",I7="",I7=0),"",L7/I7)</f>
        <v/>
      </c>
      <c r="S7" s="16">
        <f>IF(OR(M7="",J7="",J7=0),"",M7/J7)</f>
        <v/>
      </c>
      <c r="T7" s="14">
        <f>IF(Q7="","",IF(Q7&gt;=0.9,"On Track",IF(Q7&gt;=0.7,"At Risk","Off Track")))</f>
        <v/>
      </c>
      <c r="U7" s="14">
        <f>IF(R7="","",IF(R7&gt;=0.9,"On Track",IF(R7&gt;=0.7,"At Risk","Off Track")))</f>
        <v/>
      </c>
      <c r="V7" s="14">
        <f>IF(S7="","",IF(S7&gt;=0.9,"On Track",IF(S7&gt;=0.7,"At Risk","Off Track")))</f>
        <v/>
      </c>
      <c r="W7" s="14" t="inlineStr">
        <is>
          <t>tbl_Cases</t>
        </is>
      </c>
      <c r="X7" s="14" t="n"/>
      <c r="Y7" s="14" t="n"/>
      <c r="Z7" s="14" t="n"/>
      <c r="AA7" s="14" t="n"/>
      <c r="AB7" s="14" t="n"/>
      <c r="AC7" s="14" t="n"/>
    </row>
    <row r="8">
      <c r="A8" s="14" t="inlineStr">
        <is>
          <t>KPI-0007</t>
        </is>
      </c>
      <c r="B8" s="14" t="inlineStr">
        <is>
          <t>Investigations</t>
        </is>
      </c>
      <c r="C8" s="14" t="inlineStr">
        <is>
          <t>Case Resolution</t>
        </is>
      </c>
      <c r="D8" s="14" t="inlineStr">
        <is>
          <t>Supervisory Reviews Done</t>
        </is>
      </c>
      <c r="E8" s="14" t="inlineStr">
        <is>
          <t>Reviews completed on time</t>
        </is>
      </c>
      <c r="F8" s="14" t="inlineStr">
        <is>
          <t>Monthly</t>
        </is>
      </c>
      <c r="G8" s="14" t="n"/>
      <c r="H8" s="14" t="n"/>
      <c r="I8" s="14" t="n"/>
      <c r="J8" s="14" t="n"/>
      <c r="K8" s="14" t="n"/>
      <c r="L8" s="14" t="n"/>
      <c r="M8" s="14" t="n"/>
      <c r="N8" s="14">
        <f>IF(OR(K8="",H8=""),"",K8-H8)</f>
        <v/>
      </c>
      <c r="O8" s="14">
        <f>IF(OR(L8="",I8=""),"",L8-I8)</f>
        <v/>
      </c>
      <c r="P8" s="14">
        <f>IF(OR(M8="",J8=""),"",M8-J8)</f>
        <v/>
      </c>
      <c r="Q8" s="16">
        <f>IF(OR(K8="",H8="",H8=0),"",K8/H8)</f>
        <v/>
      </c>
      <c r="R8" s="16">
        <f>IF(OR(L8="",I8="",I8=0),"",L8/I8)</f>
        <v/>
      </c>
      <c r="S8" s="16">
        <f>IF(OR(M8="",J8="",J8=0),"",M8/J8)</f>
        <v/>
      </c>
      <c r="T8" s="14">
        <f>IF(Q8="","",IF(Q8&gt;=0.9,"On Track",IF(Q8&gt;=0.7,"At Risk","Off Track")))</f>
        <v/>
      </c>
      <c r="U8" s="14">
        <f>IF(R8="","",IF(R8&gt;=0.9,"On Track",IF(R8&gt;=0.7,"At Risk","Off Track")))</f>
        <v/>
      </c>
      <c r="V8" s="14">
        <f>IF(S8="","",IF(S8&gt;=0.9,"On Track",IF(S8&gt;=0.7,"At Risk","Off Track")))</f>
        <v/>
      </c>
      <c r="W8" s="14" t="inlineStr">
        <is>
          <t>tbl_Reviews</t>
        </is>
      </c>
      <c r="X8" s="14" t="n"/>
      <c r="Y8" s="14" t="n"/>
      <c r="Z8" s="14" t="n"/>
      <c r="AA8" s="14" t="n"/>
      <c r="AB8" s="14" t="n"/>
      <c r="AC8" s="14" t="n"/>
    </row>
    <row r="9">
      <c r="A9" s="14" t="inlineStr">
        <is>
          <t>KPI-0008</t>
        </is>
      </c>
      <c r="B9" s="14" t="inlineStr">
        <is>
          <t>Intelligence</t>
        </is>
      </c>
      <c r="C9" s="14" t="inlineStr">
        <is>
          <t>Intelligence Processing</t>
        </is>
      </c>
      <c r="D9" s="14" t="inlineStr">
        <is>
          <t>Leads Received</t>
        </is>
      </c>
      <c r="E9" s="14" t="inlineStr">
        <is>
          <t>Total new leads received</t>
        </is>
      </c>
      <c r="F9" s="14" t="inlineStr">
        <is>
          <t>Monthly</t>
        </is>
      </c>
      <c r="G9" s="14" t="n"/>
      <c r="H9" s="14" t="n"/>
      <c r="I9" s="14" t="n"/>
      <c r="J9" s="14" t="n"/>
      <c r="K9" s="14" t="n"/>
      <c r="L9" s="14" t="n"/>
      <c r="M9" s="14" t="n"/>
      <c r="N9" s="14">
        <f>IF(OR(K9="",H9=""),"",K9-H9)</f>
        <v/>
      </c>
      <c r="O9" s="14">
        <f>IF(OR(L9="",I9=""),"",L9-I9)</f>
        <v/>
      </c>
      <c r="P9" s="14">
        <f>IF(OR(M9="",J9=""),"",M9-J9)</f>
        <v/>
      </c>
      <c r="Q9" s="16">
        <f>IF(OR(K9="",H9="",H9=0),"",K9/H9)</f>
        <v/>
      </c>
      <c r="R9" s="16">
        <f>IF(OR(L9="",I9="",I9=0),"",L9/I9)</f>
        <v/>
      </c>
      <c r="S9" s="16">
        <f>IF(OR(M9="",J9="",J9=0),"",M9/J9)</f>
        <v/>
      </c>
      <c r="T9" s="14">
        <f>IF(Q9="","",IF(Q9&gt;=0.9,"On Track",IF(Q9&gt;=0.7,"At Risk","Off Track")))</f>
        <v/>
      </c>
      <c r="U9" s="14">
        <f>IF(R9="","",IF(R9&gt;=0.9,"On Track",IF(R9&gt;=0.7,"At Risk","Off Track")))</f>
        <v/>
      </c>
      <c r="V9" s="14">
        <f>IF(S9="","",IF(S9&gt;=0.9,"On Track",IF(S9&gt;=0.7,"At Risk","Off Track")))</f>
        <v/>
      </c>
      <c r="W9" s="14" t="inlineStr">
        <is>
          <t>tbl_Leads</t>
        </is>
      </c>
      <c r="X9" s="14" t="n"/>
      <c r="Y9" s="14" t="n"/>
      <c r="Z9" s="14" t="n"/>
      <c r="AA9" s="14" t="n"/>
      <c r="AB9" s="14" t="n"/>
      <c r="AC9" s="14" t="n"/>
    </row>
    <row r="10">
      <c r="A10" s="14" t="inlineStr">
        <is>
          <t>KPI-0009</t>
        </is>
      </c>
      <c r="B10" s="14" t="inlineStr">
        <is>
          <t>Intelligence</t>
        </is>
      </c>
      <c r="C10" s="14" t="inlineStr">
        <is>
          <t>Intelligence Processing</t>
        </is>
      </c>
      <c r="D10" s="14" t="inlineStr">
        <is>
          <t>Leads Triaged &lt; 24hrs</t>
        </is>
      </c>
      <c r="E10" s="14" t="inlineStr">
        <is>
          <t>% of leads triaged within 24 hours</t>
        </is>
      </c>
      <c r="F10" s="14" t="inlineStr">
        <is>
          <t>Monthly</t>
        </is>
      </c>
      <c r="G10" s="14" t="n"/>
      <c r="H10" s="14" t="n"/>
      <c r="I10" s="14" t="n"/>
      <c r="J10" s="14" t="n"/>
      <c r="K10" s="14" t="n"/>
      <c r="L10" s="14" t="n"/>
      <c r="M10" s="14" t="n"/>
      <c r="N10" s="14">
        <f>IF(OR(K10="",H10=""),"",K10-H10)</f>
        <v/>
      </c>
      <c r="O10" s="14">
        <f>IF(OR(L10="",I10=""),"",L10-I10)</f>
        <v/>
      </c>
      <c r="P10" s="14">
        <f>IF(OR(M10="",J10=""),"",M10-J10)</f>
        <v/>
      </c>
      <c r="Q10" s="16">
        <f>IF(OR(K10="",H10="",H10=0),"",K10/H10)</f>
        <v/>
      </c>
      <c r="R10" s="16">
        <f>IF(OR(L10="",I10="",I10=0),"",L10/I10)</f>
        <v/>
      </c>
      <c r="S10" s="16">
        <f>IF(OR(M10="",J10="",J10=0),"",M10/J10)</f>
        <v/>
      </c>
      <c r="T10" s="14">
        <f>IF(Q10="","",IF(Q10&gt;=0.9,"On Track",IF(Q10&gt;=0.7,"At Risk","Off Track")))</f>
        <v/>
      </c>
      <c r="U10" s="14">
        <f>IF(R10="","",IF(R10&gt;=0.9,"On Track",IF(R10&gt;=0.7,"At Risk","Off Track")))</f>
        <v/>
      </c>
      <c r="V10" s="14">
        <f>IF(S10="","",IF(S10&gt;=0.9,"On Track",IF(S10&gt;=0.7,"At Risk","Off Track")))</f>
        <v/>
      </c>
      <c r="W10" s="14" t="inlineStr">
        <is>
          <t>tbl_Leads</t>
        </is>
      </c>
      <c r="X10" s="14" t="n"/>
      <c r="Y10" s="14" t="n"/>
      <c r="Z10" s="14" t="n"/>
      <c r="AA10" s="14" t="n"/>
      <c r="AB10" s="14" t="n"/>
      <c r="AC10" s="14" t="n"/>
    </row>
    <row r="11">
      <c r="A11" s="14" t="inlineStr">
        <is>
          <t>KPI-0010</t>
        </is>
      </c>
      <c r="B11" s="14" t="inlineStr">
        <is>
          <t>Intelligence</t>
        </is>
      </c>
      <c r="C11" s="14" t="inlineStr">
        <is>
          <t>Intelligence Processing</t>
        </is>
      </c>
      <c r="D11" s="14" t="inlineStr">
        <is>
          <t>Lead-to-Case Conversion Rate</t>
        </is>
      </c>
      <c r="E11" s="14" t="inlineStr">
        <is>
          <t>% of leads converted to cases</t>
        </is>
      </c>
      <c r="F11" s="14" t="inlineStr">
        <is>
          <t>Monthly</t>
        </is>
      </c>
      <c r="G11" s="14" t="n"/>
      <c r="H11" s="14" t="n"/>
      <c r="I11" s="14" t="n"/>
      <c r="J11" s="14" t="n"/>
      <c r="K11" s="14" t="n"/>
      <c r="L11" s="14" t="n"/>
      <c r="M11" s="14" t="n"/>
      <c r="N11" s="14">
        <f>IF(OR(K11="",H11=""),"",K11-H11)</f>
        <v/>
      </c>
      <c r="O11" s="14">
        <f>IF(OR(L11="",I11=""),"",L11-I11)</f>
        <v/>
      </c>
      <c r="P11" s="14">
        <f>IF(OR(M11="",J11=""),"",M11-J11)</f>
        <v/>
      </c>
      <c r="Q11" s="16">
        <f>IF(OR(K11="",H11="",H11=0),"",K11/H11)</f>
        <v/>
      </c>
      <c r="R11" s="16">
        <f>IF(OR(L11="",I11="",I11=0),"",L11/I11)</f>
        <v/>
      </c>
      <c r="S11" s="16">
        <f>IF(OR(M11="",J11="",J11=0),"",M11/J11)</f>
        <v/>
      </c>
      <c r="T11" s="14">
        <f>IF(Q11="","",IF(Q11&gt;=0.9,"On Track",IF(Q11&gt;=0.7,"At Risk","Off Track")))</f>
        <v/>
      </c>
      <c r="U11" s="14">
        <f>IF(R11="","",IF(R11&gt;=0.9,"On Track",IF(R11&gt;=0.7,"At Risk","Off Track")))</f>
        <v/>
      </c>
      <c r="V11" s="14">
        <f>IF(S11="","",IF(S11&gt;=0.9,"On Track",IF(S11&gt;=0.7,"At Risk","Off Track")))</f>
        <v/>
      </c>
      <c r="W11" s="14" t="inlineStr">
        <is>
          <t>tbl_Leads</t>
        </is>
      </c>
      <c r="X11" s="14" t="n"/>
      <c r="Y11" s="14" t="n"/>
      <c r="Z11" s="14" t="n"/>
      <c r="AA11" s="14" t="n"/>
      <c r="AB11" s="14" t="n"/>
      <c r="AC11" s="14" t="n"/>
    </row>
    <row r="12">
      <c r="A12" s="14" t="inlineStr">
        <is>
          <t>KPI-0011</t>
        </is>
      </c>
      <c r="B12" s="14" t="inlineStr">
        <is>
          <t>Intelligence</t>
        </is>
      </c>
      <c r="C12" s="14" t="inlineStr">
        <is>
          <t>Intelligence Processing</t>
        </is>
      </c>
      <c r="D12" s="14" t="inlineStr">
        <is>
          <t>Intel Briefings Delivered</t>
        </is>
      </c>
      <c r="E12" s="14" t="inlineStr">
        <is>
          <t>Number of briefings to operations</t>
        </is>
      </c>
      <c r="F12" s="14" t="inlineStr">
        <is>
          <t>Monthly</t>
        </is>
      </c>
      <c r="G12" s="14" t="n"/>
      <c r="H12" s="14" t="n"/>
      <c r="I12" s="14" t="n"/>
      <c r="J12" s="14" t="n"/>
      <c r="K12" s="14" t="n"/>
      <c r="L12" s="14" t="n"/>
      <c r="M12" s="14" t="n"/>
      <c r="N12" s="14">
        <f>IF(OR(K12="",H12=""),"",K12-H12)</f>
        <v/>
      </c>
      <c r="O12" s="14">
        <f>IF(OR(L12="",I12=""),"",L12-I12)</f>
        <v/>
      </c>
      <c r="P12" s="14">
        <f>IF(OR(M12="",J12=""),"",M12-J12)</f>
        <v/>
      </c>
      <c r="Q12" s="16">
        <f>IF(OR(K12="",H12="",H12=0),"",K12/H12)</f>
        <v/>
      </c>
      <c r="R12" s="16">
        <f>IF(OR(L12="",I12="",I12=0),"",L12/I12)</f>
        <v/>
      </c>
      <c r="S12" s="16">
        <f>IF(OR(M12="",J12="",J12=0),"",M12/J12)</f>
        <v/>
      </c>
      <c r="T12" s="14">
        <f>IF(Q12="","",IF(Q12&gt;=0.9,"On Track",IF(Q12&gt;=0.7,"At Risk","Off Track")))</f>
        <v/>
      </c>
      <c r="U12" s="14">
        <f>IF(R12="","",IF(R12&gt;=0.9,"On Track",IF(R12&gt;=0.7,"At Risk","Off Track")))</f>
        <v/>
      </c>
      <c r="V12" s="14">
        <f>IF(S12="","",IF(S12&gt;=0.9,"On Track",IF(S12&gt;=0.7,"At Risk","Off Track")))</f>
        <v/>
      </c>
      <c r="W12" s="14" t="inlineStr">
        <is>
          <t>tbl_IntelBriefings</t>
        </is>
      </c>
      <c r="X12" s="14" t="n"/>
      <c r="Y12" s="14" t="n"/>
      <c r="Z12" s="14" t="n"/>
      <c r="AA12" s="14" t="n"/>
      <c r="AB12" s="14" t="n"/>
      <c r="AC12" s="14" t="n"/>
    </row>
    <row r="13">
      <c r="A13" s="14" t="inlineStr">
        <is>
          <t>KPI-0012</t>
        </is>
      </c>
      <c r="B13" s="14" t="inlineStr">
        <is>
          <t>Operations</t>
        </is>
      </c>
      <c r="C13" s="14" t="inlineStr">
        <is>
          <t>Operational Output</t>
        </is>
      </c>
      <c r="D13" s="14" t="inlineStr">
        <is>
          <t>Total Operations Conducted</t>
        </is>
      </c>
      <c r="E13" s="14" t="inlineStr">
        <is>
          <t>All ops including FCSI</t>
        </is>
      </c>
      <c r="F13" s="14" t="inlineStr">
        <is>
          <t>Monthly</t>
        </is>
      </c>
      <c r="G13" s="14" t="n"/>
      <c r="H13" s="14" t="n"/>
      <c r="I13" s="14" t="n"/>
      <c r="J13" s="14" t="n"/>
      <c r="K13" s="14" t="n"/>
      <c r="L13" s="14" t="n"/>
      <c r="M13" s="14" t="n"/>
      <c r="N13" s="14">
        <f>IF(OR(K13="",H13=""),"",K13-H13)</f>
        <v/>
      </c>
      <c r="O13" s="14">
        <f>IF(OR(L13="",I13=""),"",L13-I13)</f>
        <v/>
      </c>
      <c r="P13" s="14">
        <f>IF(OR(M13="",J13=""),"",M13-J13)</f>
        <v/>
      </c>
      <c r="Q13" s="16">
        <f>IF(OR(K13="",H13="",H13=0),"",K13/H13)</f>
        <v/>
      </c>
      <c r="R13" s="16">
        <f>IF(OR(L13="",I13="",I13=0),"",L13/I13)</f>
        <v/>
      </c>
      <c r="S13" s="16">
        <f>IF(OR(M13="",J13="",J13=0),"",M13/J13)</f>
        <v/>
      </c>
      <c r="T13" s="14">
        <f>IF(Q13="","",IF(Q13&gt;=0.9,"On Track",IF(Q13&gt;=0.7,"At Risk","Off Track")))</f>
        <v/>
      </c>
      <c r="U13" s="14">
        <f>IF(R13="","",IF(R13&gt;=0.9,"On Track",IF(R13&gt;=0.7,"At Risk","Off Track")))</f>
        <v/>
      </c>
      <c r="V13" s="14">
        <f>IF(S13="","",IF(S13&gt;=0.9,"On Track",IF(S13&gt;=0.7,"At Risk","Off Track")))</f>
        <v/>
      </c>
      <c r="W13" s="14" t="inlineStr">
        <is>
          <t>tbl_Operations</t>
        </is>
      </c>
      <c r="X13" s="14" t="n"/>
      <c r="Y13" s="14" t="n"/>
      <c r="Z13" s="14" t="n"/>
      <c r="AA13" s="14" t="n"/>
      <c r="AB13" s="14" t="n"/>
      <c r="AC13" s="14" t="n"/>
    </row>
    <row r="14">
      <c r="A14" s="14" t="inlineStr">
        <is>
          <t>KPI-0013</t>
        </is>
      </c>
      <c r="B14" s="14" t="inlineStr">
        <is>
          <t>Operations</t>
        </is>
      </c>
      <c r="C14" s="14" t="inlineStr">
        <is>
          <t>Operational Output</t>
        </is>
      </c>
      <c r="D14" s="14" t="inlineStr">
        <is>
          <t>FCSI Operations Conducted</t>
        </is>
      </c>
      <c r="E14" s="14" t="inlineStr">
        <is>
          <t>Operations under FCSI flag</t>
        </is>
      </c>
      <c r="F14" s="14" t="inlineStr">
        <is>
          <t>Monthly</t>
        </is>
      </c>
      <c r="G14" s="14" t="n"/>
      <c r="H14" s="14" t="n"/>
      <c r="I14" s="14" t="n"/>
      <c r="J14" s="14" t="n"/>
      <c r="K14" s="14" t="n"/>
      <c r="L14" s="14" t="n"/>
      <c r="M14" s="14" t="n"/>
      <c r="N14" s="14">
        <f>IF(OR(K14="",H14=""),"",K14-H14)</f>
        <v/>
      </c>
      <c r="O14" s="14">
        <f>IF(OR(L14="",I14=""),"",L14-I14)</f>
        <v/>
      </c>
      <c r="P14" s="14">
        <f>IF(OR(M14="",J14=""),"",M14-J14)</f>
        <v/>
      </c>
      <c r="Q14" s="16">
        <f>IF(OR(K14="",H14="",H14=0),"",K14/H14)</f>
        <v/>
      </c>
      <c r="R14" s="16">
        <f>IF(OR(L14="",I14="",I14=0),"",L14/I14)</f>
        <v/>
      </c>
      <c r="S14" s="16">
        <f>IF(OR(M14="",J14="",J14=0),"",M14/J14)</f>
        <v/>
      </c>
      <c r="T14" s="14">
        <f>IF(Q14="","",IF(Q14&gt;=0.9,"On Track",IF(Q14&gt;=0.7,"At Risk","Off Track")))</f>
        <v/>
      </c>
      <c r="U14" s="14">
        <f>IF(R14="","",IF(R14&gt;=0.9,"On Track",IF(R14&gt;=0.7,"At Risk","Off Track")))</f>
        <v/>
      </c>
      <c r="V14" s="14">
        <f>IF(S14="","",IF(S14&gt;=0.9,"On Track",IF(S14&gt;=0.7,"At Risk","Off Track")))</f>
        <v/>
      </c>
      <c r="W14" s="14" t="inlineStr">
        <is>
          <t>tbl_Operations</t>
        </is>
      </c>
      <c r="X14" s="14" t="n"/>
      <c r="Y14" s="14" t="n"/>
      <c r="Z14" s="14" t="n"/>
      <c r="AA14" s="14" t="n"/>
      <c r="AB14" s="14" t="n"/>
      <c r="AC14" s="14" t="n"/>
    </row>
    <row r="15">
      <c r="A15" s="14" t="inlineStr">
        <is>
          <t>KPI-0014</t>
        </is>
      </c>
      <c r="B15" s="14" t="inlineStr">
        <is>
          <t>Operations</t>
        </is>
      </c>
      <c r="C15" s="14" t="inlineStr">
        <is>
          <t>Operational Output</t>
        </is>
      </c>
      <c r="D15" s="14" t="inlineStr">
        <is>
          <t>Firearms Seized</t>
        </is>
      </c>
      <c r="E15" s="14" t="inlineStr">
        <is>
          <t>Total firearms seized from ops</t>
        </is>
      </c>
      <c r="F15" s="14" t="inlineStr">
        <is>
          <t>Monthly</t>
        </is>
      </c>
      <c r="G15" s="14" t="n"/>
      <c r="H15" s="14" t="n"/>
      <c r="I15" s="14" t="n"/>
      <c r="J15" s="14" t="n"/>
      <c r="K15" s="14" t="n"/>
      <c r="L15" s="14" t="n"/>
      <c r="M15" s="14" t="n"/>
      <c r="N15" s="14">
        <f>IF(OR(K15="",H15=""),"",K15-H15)</f>
        <v/>
      </c>
      <c r="O15" s="14">
        <f>IF(OR(L15="",I15=""),"",L15-I15)</f>
        <v/>
      </c>
      <c r="P15" s="14">
        <f>IF(OR(M15="",J15=""),"",M15-J15)</f>
        <v/>
      </c>
      <c r="Q15" s="16">
        <f>IF(OR(K15="",H15="",H15=0),"",K15/H15)</f>
        <v/>
      </c>
      <c r="R15" s="16">
        <f>IF(OR(L15="",I15="",I15=0),"",L15/I15)</f>
        <v/>
      </c>
      <c r="S15" s="16">
        <f>IF(OR(M15="",J15="",J15=0),"",M15/J15)</f>
        <v/>
      </c>
      <c r="T15" s="14">
        <f>IF(Q15="","",IF(Q15&gt;=0.9,"On Track",IF(Q15&gt;=0.7,"At Risk","Off Track")))</f>
        <v/>
      </c>
      <c r="U15" s="14">
        <f>IF(R15="","",IF(R15&gt;=0.9,"On Track",IF(R15&gt;=0.7,"At Risk","Off Track")))</f>
        <v/>
      </c>
      <c r="V15" s="14">
        <f>IF(S15="","",IF(S15&gt;=0.9,"On Track",IF(S15&gt;=0.7,"At Risk","Off Track")))</f>
        <v/>
      </c>
      <c r="W15" s="14" t="inlineStr">
        <is>
          <t>tbl_Operations</t>
        </is>
      </c>
      <c r="X15" s="14" t="n"/>
      <c r="Y15" s="14" t="n"/>
      <c r="Z15" s="14" t="n"/>
      <c r="AA15" s="14" t="n"/>
      <c r="AB15" s="14" t="n"/>
      <c r="AC15" s="14" t="n"/>
    </row>
    <row r="16">
      <c r="A16" s="14" t="inlineStr">
        <is>
          <t>KPI-0015</t>
        </is>
      </c>
      <c r="B16" s="14" t="inlineStr">
        <is>
          <t>Operations</t>
        </is>
      </c>
      <c r="C16" s="14" t="inlineStr">
        <is>
          <t>Operational Output</t>
        </is>
      </c>
      <c r="D16" s="14" t="inlineStr">
        <is>
          <t>Narcotics Seized (kg)</t>
        </is>
      </c>
      <c r="E16" s="14" t="inlineStr">
        <is>
          <t>Total narcotics seized in kg</t>
        </is>
      </c>
      <c r="F16" s="14" t="inlineStr">
        <is>
          <t>Monthly</t>
        </is>
      </c>
      <c r="G16" s="14" t="n"/>
      <c r="H16" s="14" t="n"/>
      <c r="I16" s="14" t="n"/>
      <c r="J16" s="14" t="n"/>
      <c r="K16" s="14" t="n"/>
      <c r="L16" s="14" t="n"/>
      <c r="M16" s="14" t="n"/>
      <c r="N16" s="14">
        <f>IF(OR(K16="",H16=""),"",K16-H16)</f>
        <v/>
      </c>
      <c r="O16" s="14">
        <f>IF(OR(L16="",I16=""),"",L16-I16)</f>
        <v/>
      </c>
      <c r="P16" s="14">
        <f>IF(OR(M16="",J16=""),"",M16-J16)</f>
        <v/>
      </c>
      <c r="Q16" s="16">
        <f>IF(OR(K16="",H16="",H16=0),"",K16/H16)</f>
        <v/>
      </c>
      <c r="R16" s="16">
        <f>IF(OR(L16="",I16="",I16=0),"",L16/I16)</f>
        <v/>
      </c>
      <c r="S16" s="16">
        <f>IF(OR(M16="",J16="",J16=0),"",M16/J16)</f>
        <v/>
      </c>
      <c r="T16" s="14">
        <f>IF(Q16="","",IF(Q16&gt;=0.9,"On Track",IF(Q16&gt;=0.7,"At Risk","Off Track")))</f>
        <v/>
      </c>
      <c r="U16" s="14">
        <f>IF(R16="","",IF(R16&gt;=0.9,"On Track",IF(R16&gt;=0.7,"At Risk","Off Track")))</f>
        <v/>
      </c>
      <c r="V16" s="14">
        <f>IF(S16="","",IF(S16&gt;=0.9,"On Track",IF(S16&gt;=0.7,"At Risk","Off Track")))</f>
        <v/>
      </c>
      <c r="W16" s="14" t="inlineStr">
        <is>
          <t>tbl_Operations</t>
        </is>
      </c>
      <c r="X16" s="14" t="n"/>
      <c r="Y16" s="14" t="n"/>
      <c r="Z16" s="14" t="n"/>
      <c r="AA16" s="14" t="n"/>
      <c r="AB16" s="14" t="n"/>
      <c r="AC16" s="14" t="n"/>
    </row>
    <row r="17">
      <c r="A17" s="14" t="inlineStr">
        <is>
          <t>KPI-0016</t>
        </is>
      </c>
      <c r="B17" s="14" t="inlineStr">
        <is>
          <t>Operations</t>
        </is>
      </c>
      <c r="C17" s="14" t="inlineStr">
        <is>
          <t>Operational Output</t>
        </is>
      </c>
      <c r="D17" s="14" t="inlineStr">
        <is>
          <t>Arrests Made</t>
        </is>
      </c>
      <c r="E17" s="14" t="inlineStr">
        <is>
          <t>Total arrests from operations</t>
        </is>
      </c>
      <c r="F17" s="14" t="inlineStr">
        <is>
          <t>Monthly</t>
        </is>
      </c>
      <c r="G17" s="14" t="n"/>
      <c r="H17" s="14" t="n"/>
      <c r="I17" s="14" t="n"/>
      <c r="J17" s="14" t="n"/>
      <c r="K17" s="14" t="n"/>
      <c r="L17" s="14" t="n"/>
      <c r="M17" s="14" t="n"/>
      <c r="N17" s="14">
        <f>IF(OR(K17="",H17=""),"",K17-H17)</f>
        <v/>
      </c>
      <c r="O17" s="14">
        <f>IF(OR(L17="",I17=""),"",L17-I17)</f>
        <v/>
      </c>
      <c r="P17" s="14">
        <f>IF(OR(M17="",J17=""),"",M17-J17)</f>
        <v/>
      </c>
      <c r="Q17" s="16">
        <f>IF(OR(K17="",H17="",H17=0),"",K17/H17)</f>
        <v/>
      </c>
      <c r="R17" s="16">
        <f>IF(OR(L17="",I17="",I17=0),"",L17/I17)</f>
        <v/>
      </c>
      <c r="S17" s="16">
        <f>IF(OR(M17="",J17="",J17=0),"",M17/J17)</f>
        <v/>
      </c>
      <c r="T17" s="14">
        <f>IF(Q17="","",IF(Q17&gt;=0.9,"On Track",IF(Q17&gt;=0.7,"At Risk","Off Track")))</f>
        <v/>
      </c>
      <c r="U17" s="14">
        <f>IF(R17="","",IF(R17&gt;=0.9,"On Track",IF(R17&gt;=0.7,"At Risk","Off Track")))</f>
        <v/>
      </c>
      <c r="V17" s="14">
        <f>IF(S17="","",IF(S17&gt;=0.9,"On Track",IF(S17&gt;=0.7,"At Risk","Off Track")))</f>
        <v/>
      </c>
      <c r="W17" s="14" t="inlineStr">
        <is>
          <t>tbl_Operations</t>
        </is>
      </c>
      <c r="X17" s="14" t="n"/>
      <c r="Y17" s="14" t="n"/>
      <c r="Z17" s="14" t="n"/>
      <c r="AA17" s="14" t="n"/>
      <c r="AB17" s="14" t="n"/>
      <c r="AC17" s="14" t="n"/>
    </row>
    <row r="18">
      <c r="A18" s="14" t="inlineStr">
        <is>
          <t>KPI-0017</t>
        </is>
      </c>
      <c r="B18" s="14" t="inlineStr">
        <is>
          <t>Operations</t>
        </is>
      </c>
      <c r="C18" s="14" t="inlineStr">
        <is>
          <t>FCSI Effectiveness</t>
        </is>
      </c>
      <c r="D18" s="14" t="inlineStr">
        <is>
          <t>FCSI Positive Outcome Rate</t>
        </is>
      </c>
      <c r="E18" s="14" t="inlineStr">
        <is>
          <t>% of FCSI ops with seizure/arrest</t>
        </is>
      </c>
      <c r="F18" s="14" t="inlineStr">
        <is>
          <t>Monthly</t>
        </is>
      </c>
      <c r="G18" s="14" t="n"/>
      <c r="H18" s="14" t="n"/>
      <c r="I18" s="14" t="n"/>
      <c r="J18" s="14" t="n"/>
      <c r="K18" s="14" t="n"/>
      <c r="L18" s="14" t="n"/>
      <c r="M18" s="14" t="n"/>
      <c r="N18" s="14">
        <f>IF(OR(K18="",H18=""),"",K18-H18)</f>
        <v/>
      </c>
      <c r="O18" s="14">
        <f>IF(OR(L18="",I18=""),"",L18-I18)</f>
        <v/>
      </c>
      <c r="P18" s="14">
        <f>IF(OR(M18="",J18=""),"",M18-J18)</f>
        <v/>
      </c>
      <c r="Q18" s="16">
        <f>IF(OR(K18="",H18="",H18=0),"",K18/H18)</f>
        <v/>
      </c>
      <c r="R18" s="16">
        <f>IF(OR(L18="",I18="",I18=0),"",L18/I18)</f>
        <v/>
      </c>
      <c r="S18" s="16">
        <f>IF(OR(M18="",J18="",J18=0),"",M18/J18)</f>
        <v/>
      </c>
      <c r="T18" s="14">
        <f>IF(Q18="","",IF(Q18&gt;=0.9,"On Track",IF(Q18&gt;=0.7,"At Risk","Off Track")))</f>
        <v/>
      </c>
      <c r="U18" s="14">
        <f>IF(R18="","",IF(R18&gt;=0.9,"On Track",IF(R18&gt;=0.7,"At Risk","Off Track")))</f>
        <v/>
      </c>
      <c r="V18" s="14">
        <f>IF(S18="","",IF(S18&gt;=0.9,"On Track",IF(S18&gt;=0.7,"At Risk","Off Track")))</f>
        <v/>
      </c>
      <c r="W18" s="14" t="inlineStr">
        <is>
          <t>tbl_Operations</t>
        </is>
      </c>
      <c r="X18" s="14" t="n"/>
      <c r="Y18" s="14" t="n"/>
      <c r="Z18" s="14" t="n"/>
      <c r="AA18" s="14" t="n"/>
      <c r="AB18" s="14" t="n"/>
      <c r="AC18" s="14" t="n"/>
    </row>
    <row r="19">
      <c r="A19" s="14" t="inlineStr">
        <is>
          <t>KPI-0018</t>
        </is>
      </c>
      <c r="B19" s="14" t="inlineStr">
        <is>
          <t>Operations</t>
        </is>
      </c>
      <c r="C19" s="14" t="inlineStr">
        <is>
          <t>FCSI Effectiveness</t>
        </is>
      </c>
      <c r="D19" s="14" t="inlineStr">
        <is>
          <t>FCSI Hotspot Coverage</t>
        </is>
      </c>
      <c r="E19" s="14" t="inlineStr">
        <is>
          <t>% of designated hotspots covered</t>
        </is>
      </c>
      <c r="F19" s="14" t="inlineStr">
        <is>
          <t>Monthly</t>
        </is>
      </c>
      <c r="G19" s="14" t="n"/>
      <c r="H19" s="14" t="n"/>
      <c r="I19" s="14" t="n"/>
      <c r="J19" s="14" t="n"/>
      <c r="K19" s="14" t="n"/>
      <c r="L19" s="14" t="n"/>
      <c r="M19" s="14" t="n"/>
      <c r="N19" s="14">
        <f>IF(OR(K19="",H19=""),"",K19-H19)</f>
        <v/>
      </c>
      <c r="O19" s="14">
        <f>IF(OR(L19="",I19=""),"",L19-I19)</f>
        <v/>
      </c>
      <c r="P19" s="14">
        <f>IF(OR(M19="",J19=""),"",M19-J19)</f>
        <v/>
      </c>
      <c r="Q19" s="16">
        <f>IF(OR(K19="",H19="",H19=0),"",K19/H19)</f>
        <v/>
      </c>
      <c r="R19" s="16">
        <f>IF(OR(L19="",I19="",I19=0),"",L19/I19)</f>
        <v/>
      </c>
      <c r="S19" s="16">
        <f>IF(OR(M19="",J19="",J19=0),"",M19/J19)</f>
        <v/>
      </c>
      <c r="T19" s="14">
        <f>IF(Q19="","",IF(Q19&gt;=0.9,"On Track",IF(Q19&gt;=0.7,"At Risk","Off Track")))</f>
        <v/>
      </c>
      <c r="U19" s="14">
        <f>IF(R19="","",IF(R19&gt;=0.9,"On Track",IF(R19&gt;=0.7,"At Risk","Off Track")))</f>
        <v/>
      </c>
      <c r="V19" s="14">
        <f>IF(S19="","",IF(S19&gt;=0.9,"On Track",IF(S19&gt;=0.7,"At Risk","Off Track")))</f>
        <v/>
      </c>
      <c r="W19" s="14" t="inlineStr">
        <is>
          <t>tbl_Operations</t>
        </is>
      </c>
      <c r="X19" s="14" t="n"/>
      <c r="Y19" s="14" t="n"/>
      <c r="Z19" s="14" t="n"/>
      <c r="AA19" s="14" t="n"/>
      <c r="AB19" s="14" t="n"/>
      <c r="AC19" s="14" t="n"/>
    </row>
    <row r="20">
      <c r="A20" s="14" t="inlineStr">
        <is>
          <t>KPI-0019</t>
        </is>
      </c>
      <c r="B20" s="14" t="inlineStr">
        <is>
          <t>Transport</t>
        </is>
      </c>
      <c r="C20" s="14" t="inlineStr">
        <is>
          <t>Fleet Readiness</t>
        </is>
      </c>
      <c r="D20" s="14" t="inlineStr">
        <is>
          <t>Vehicle Availability Rate</t>
        </is>
      </c>
      <c r="E20" s="14" t="inlineStr">
        <is>
          <t>% of fleet available for duty</t>
        </is>
      </c>
      <c r="F20" s="14" t="inlineStr">
        <is>
          <t>Monthly</t>
        </is>
      </c>
      <c r="G20" s="14" t="n"/>
      <c r="H20" s="14" t="n"/>
      <c r="I20" s="14" t="n"/>
      <c r="J20" s="14" t="n"/>
      <c r="K20" s="14" t="n"/>
      <c r="L20" s="14" t="n"/>
      <c r="M20" s="14" t="n"/>
      <c r="N20" s="14">
        <f>IF(OR(K20="",H20=""),"",K20-H20)</f>
        <v/>
      </c>
      <c r="O20" s="14">
        <f>IF(OR(L20="",I20=""),"",L20-I20)</f>
        <v/>
      </c>
      <c r="P20" s="14">
        <f>IF(OR(M20="",J20=""),"",M20-J20)</f>
        <v/>
      </c>
      <c r="Q20" s="16">
        <f>IF(OR(K20="",H20="",H20=0),"",K20/H20)</f>
        <v/>
      </c>
      <c r="R20" s="16">
        <f>IF(OR(L20="",I20="",I20=0),"",L20/I20)</f>
        <v/>
      </c>
      <c r="S20" s="16">
        <f>IF(OR(M20="",J20="",J20=0),"",M20/J20)</f>
        <v/>
      </c>
      <c r="T20" s="14">
        <f>IF(Q20="","",IF(Q20&gt;=0.9,"On Track",IF(Q20&gt;=0.7,"At Risk","Off Track")))</f>
        <v/>
      </c>
      <c r="U20" s="14">
        <f>IF(R20="","",IF(R20&gt;=0.9,"On Track",IF(R20&gt;=0.7,"At Risk","Off Track")))</f>
        <v/>
      </c>
      <c r="V20" s="14">
        <f>IF(S20="","",IF(S20&gt;=0.9,"On Track",IF(S20&gt;=0.7,"At Risk","Off Track")))</f>
        <v/>
      </c>
      <c r="W20" s="14" t="inlineStr">
        <is>
          <t>tbl_Vehicles</t>
        </is>
      </c>
      <c r="X20" s="14" t="n"/>
      <c r="Y20" s="14" t="n"/>
      <c r="Z20" s="14" t="n"/>
      <c r="AA20" s="14" t="n"/>
      <c r="AB20" s="14" t="n"/>
      <c r="AC20" s="14" t="n"/>
    </row>
    <row r="21">
      <c r="A21" s="14" t="inlineStr">
        <is>
          <t>KPI-0020</t>
        </is>
      </c>
      <c r="B21" s="14" t="inlineStr">
        <is>
          <t>Transport</t>
        </is>
      </c>
      <c r="C21" s="14" t="inlineStr">
        <is>
          <t>Fleet Readiness</t>
        </is>
      </c>
      <c r="D21" s="14" t="inlineStr">
        <is>
          <t>Ops Support Coverage</t>
        </is>
      </c>
      <c r="E21" s="14" t="inlineStr">
        <is>
          <t>% of operations with vehicle support</t>
        </is>
      </c>
      <c r="F21" s="14" t="inlineStr">
        <is>
          <t>Monthly</t>
        </is>
      </c>
      <c r="G21" s="14" t="n"/>
      <c r="H21" s="14" t="n"/>
      <c r="I21" s="14" t="n"/>
      <c r="J21" s="14" t="n"/>
      <c r="K21" s="14" t="n"/>
      <c r="L21" s="14" t="n"/>
      <c r="M21" s="14" t="n"/>
      <c r="N21" s="14">
        <f>IF(OR(K21="",H21=""),"",K21-H21)</f>
        <v/>
      </c>
      <c r="O21" s="14">
        <f>IF(OR(L21="",I21=""),"",L21-I21)</f>
        <v/>
      </c>
      <c r="P21" s="14">
        <f>IF(OR(M21="",J21=""),"",M21-J21)</f>
        <v/>
      </c>
      <c r="Q21" s="16">
        <f>IF(OR(K21="",H21="",H21=0),"",K21/H21)</f>
        <v/>
      </c>
      <c r="R21" s="16">
        <f>IF(OR(L21="",I21="",I21=0),"",L21/I21)</f>
        <v/>
      </c>
      <c r="S21" s="16">
        <f>IF(OR(M21="",J21="",J21=0),"",M21/J21)</f>
        <v/>
      </c>
      <c r="T21" s="14">
        <f>IF(Q21="","",IF(Q21&gt;=0.9,"On Track",IF(Q21&gt;=0.7,"At Risk","Off Track")))</f>
        <v/>
      </c>
      <c r="U21" s="14">
        <f>IF(R21="","",IF(R21&gt;=0.9,"On Track",IF(R21&gt;=0.7,"At Risk","Off Track")))</f>
        <v/>
      </c>
      <c r="V21" s="14">
        <f>IF(S21="","",IF(S21&gt;=0.9,"On Track",IF(S21&gt;=0.7,"At Risk","Off Track")))</f>
        <v/>
      </c>
      <c r="W21" s="14" t="inlineStr">
        <is>
          <t>tbl_VehicleUsage</t>
        </is>
      </c>
      <c r="X21" s="14" t="n"/>
      <c r="Y21" s="14" t="n"/>
      <c r="Z21" s="14" t="n"/>
      <c r="AA21" s="14" t="n"/>
      <c r="AB21" s="14" t="n"/>
      <c r="AC21" s="14" t="n"/>
    </row>
    <row r="22">
      <c r="A22" s="14" t="inlineStr">
        <is>
          <t>KPI-0021</t>
        </is>
      </c>
      <c r="B22" s="14" t="inlineStr">
        <is>
          <t>Transport</t>
        </is>
      </c>
      <c r="C22" s="14" t="inlineStr">
        <is>
          <t>Fleet Readiness</t>
        </is>
      </c>
      <c r="D22" s="14" t="inlineStr">
        <is>
          <t>Maintenance Compliance</t>
        </is>
      </c>
      <c r="E22" s="14" t="inlineStr">
        <is>
          <t>% of vehicles serviced on schedule</t>
        </is>
      </c>
      <c r="F22" s="14" t="inlineStr">
        <is>
          <t>Monthly</t>
        </is>
      </c>
      <c r="G22" s="14" t="n"/>
      <c r="H22" s="14" t="n"/>
      <c r="I22" s="14" t="n"/>
      <c r="J22" s="14" t="n"/>
      <c r="K22" s="14" t="n"/>
      <c r="L22" s="14" t="n"/>
      <c r="M22" s="14" t="n"/>
      <c r="N22" s="14">
        <f>IF(OR(K22="",H22=""),"",K22-H22)</f>
        <v/>
      </c>
      <c r="O22" s="14">
        <f>IF(OR(L22="",I22=""),"",L22-I22)</f>
        <v/>
      </c>
      <c r="P22" s="14">
        <f>IF(OR(M22="",J22=""),"",M22-J22)</f>
        <v/>
      </c>
      <c r="Q22" s="16">
        <f>IF(OR(K22="",H22="",H22=0),"",K22/H22)</f>
        <v/>
      </c>
      <c r="R22" s="16">
        <f>IF(OR(L22="",I22="",I22=0),"",L22/I22)</f>
        <v/>
      </c>
      <c r="S22" s="16">
        <f>IF(OR(M22="",J22="",J22=0),"",M22/J22)</f>
        <v/>
      </c>
      <c r="T22" s="14">
        <f>IF(Q22="","",IF(Q22&gt;=0.9,"On Track",IF(Q22&gt;=0.7,"At Risk","Off Track")))</f>
        <v/>
      </c>
      <c r="U22" s="14">
        <f>IF(R22="","",IF(R22&gt;=0.9,"On Track",IF(R22&gt;=0.7,"At Risk","Off Track")))</f>
        <v/>
      </c>
      <c r="V22" s="14">
        <f>IF(S22="","",IF(S22&gt;=0.9,"On Track",IF(S22&gt;=0.7,"At Risk","Off Track")))</f>
        <v/>
      </c>
      <c r="W22" s="14" t="inlineStr">
        <is>
          <t>tbl_Maintenance</t>
        </is>
      </c>
      <c r="X22" s="14" t="n"/>
      <c r="Y22" s="14" t="n"/>
      <c r="Z22" s="14" t="n"/>
      <c r="AA22" s="14" t="n"/>
      <c r="AB22" s="14" t="n"/>
      <c r="AC22" s="14" t="n"/>
    </row>
    <row r="23">
      <c r="A23" s="14" t="inlineStr">
        <is>
          <t>KPI-0022</t>
        </is>
      </c>
      <c r="B23" s="14" t="inlineStr">
        <is>
          <t>Transport</t>
        </is>
      </c>
      <c r="C23" s="14" t="inlineStr">
        <is>
          <t>Fleet Readiness</t>
        </is>
      </c>
      <c r="D23" s="14" t="inlineStr">
        <is>
          <t>Avg Downtime Days</t>
        </is>
      </c>
      <c r="E23" s="14" t="inlineStr">
        <is>
          <t>Average days per vehicle out of service</t>
        </is>
      </c>
      <c r="F23" s="14" t="inlineStr">
        <is>
          <t>Monthly</t>
        </is>
      </c>
      <c r="G23" s="14" t="n"/>
      <c r="H23" s="14" t="n"/>
      <c r="I23" s="14" t="n"/>
      <c r="J23" s="14" t="n"/>
      <c r="K23" s="14" t="n"/>
      <c r="L23" s="14" t="n"/>
      <c r="M23" s="14" t="n"/>
      <c r="N23" s="14">
        <f>IF(OR(K23="",H23=""),"",K23-H23)</f>
        <v/>
      </c>
      <c r="O23" s="14">
        <f>IF(OR(L23="",I23=""),"",L23-I23)</f>
        <v/>
      </c>
      <c r="P23" s="14">
        <f>IF(OR(M23="",J23=""),"",M23-J23)</f>
        <v/>
      </c>
      <c r="Q23" s="16">
        <f>IF(OR(K23="",H23="",H23=0),"",K23/H23)</f>
        <v/>
      </c>
      <c r="R23" s="16">
        <f>IF(OR(L23="",I23="",I23=0),"",L23/I23)</f>
        <v/>
      </c>
      <c r="S23" s="16">
        <f>IF(OR(M23="",J23="",J23=0),"",M23/J23)</f>
        <v/>
      </c>
      <c r="T23" s="14">
        <f>IF(Q23="","",IF(Q23&gt;=0.9,"On Track",IF(Q23&gt;=0.7,"At Risk","Off Track")))</f>
        <v/>
      </c>
      <c r="U23" s="14">
        <f>IF(R23="","",IF(R23&gt;=0.9,"On Track",IF(R23&gt;=0.7,"At Risk","Off Track")))</f>
        <v/>
      </c>
      <c r="V23" s="14">
        <f>IF(S23="","",IF(S23&gt;=0.9,"On Track",IF(S23&gt;=0.7,"At Risk","Off Track")))</f>
        <v/>
      </c>
      <c r="W23" s="14" t="inlineStr">
        <is>
          <t>tbl_Maintenance</t>
        </is>
      </c>
      <c r="X23" s="14" t="n"/>
      <c r="Y23" s="14" t="n"/>
      <c r="Z23" s="14" t="n"/>
      <c r="AA23" s="14" t="n"/>
      <c r="AB23" s="14" t="n"/>
      <c r="AC23" s="14" t="n"/>
    </row>
    <row r="24">
      <c r="A24" s="14" t="inlineStr">
        <is>
          <t>KPI-0023</t>
        </is>
      </c>
      <c r="B24" s="14" t="inlineStr">
        <is>
          <t>Demand Reduction</t>
        </is>
      </c>
      <c r="C24" s="14" t="inlineStr">
        <is>
          <t>Community Outreach</t>
        </is>
      </c>
      <c r="D24" s="14" t="inlineStr">
        <is>
          <t>Lectures Delivered</t>
        </is>
      </c>
      <c r="E24" s="14" t="inlineStr">
        <is>
          <t>Total demand-reduction sessions</t>
        </is>
      </c>
      <c r="F24" s="14" t="inlineStr">
        <is>
          <t>Monthly</t>
        </is>
      </c>
      <c r="G24" s="14" t="n"/>
      <c r="H24" s="14" t="n"/>
      <c r="I24" s="14" t="n"/>
      <c r="J24" s="14" t="n"/>
      <c r="K24" s="14" t="n"/>
      <c r="L24" s="14" t="n"/>
      <c r="M24" s="14" t="n"/>
      <c r="N24" s="14">
        <f>IF(OR(K24="",H24=""),"",K24-H24)</f>
        <v/>
      </c>
      <c r="O24" s="14">
        <f>IF(OR(L24="",I24=""),"",L24-I24)</f>
        <v/>
      </c>
      <c r="P24" s="14">
        <f>IF(OR(M24="",J24=""),"",M24-J24)</f>
        <v/>
      </c>
      <c r="Q24" s="16">
        <f>IF(OR(K24="",H24="",H24=0),"",K24/H24)</f>
        <v/>
      </c>
      <c r="R24" s="16">
        <f>IF(OR(L24="",I24="",I24=0),"",L24/I24)</f>
        <v/>
      </c>
      <c r="S24" s="16">
        <f>IF(OR(M24="",J24="",J24=0),"",M24/J24)</f>
        <v/>
      </c>
      <c r="T24" s="14">
        <f>IF(Q24="","",IF(Q24&gt;=0.9,"On Track",IF(Q24&gt;=0.7,"At Risk","Off Track")))</f>
        <v/>
      </c>
      <c r="U24" s="14">
        <f>IF(R24="","",IF(R24&gt;=0.9,"On Track",IF(R24&gt;=0.7,"At Risk","Off Track")))</f>
        <v/>
      </c>
      <c r="V24" s="14">
        <f>IF(S24="","",IF(S24&gt;=0.9,"On Track",IF(S24&gt;=0.7,"At Risk","Off Track")))</f>
        <v/>
      </c>
      <c r="W24" s="14" t="inlineStr">
        <is>
          <t>tbl_DemandReduction</t>
        </is>
      </c>
      <c r="X24" s="14" t="n"/>
      <c r="Y24" s="14" t="n"/>
      <c r="Z24" s="14" t="n"/>
      <c r="AA24" s="14" t="n"/>
      <c r="AB24" s="14" t="n"/>
      <c r="AC24" s="14" t="n"/>
    </row>
    <row r="25">
      <c r="A25" s="14" t="inlineStr">
        <is>
          <t>KPI-0024</t>
        </is>
      </c>
      <c r="B25" s="14" t="inlineStr">
        <is>
          <t>Demand Reduction</t>
        </is>
      </c>
      <c r="C25" s="14" t="inlineStr">
        <is>
          <t>Community Outreach</t>
        </is>
      </c>
      <c r="D25" s="14" t="inlineStr">
        <is>
          <t>Total Attendance</t>
        </is>
      </c>
      <c r="E25" s="14" t="inlineStr">
        <is>
          <t>Cumulative attendance at sessions</t>
        </is>
      </c>
      <c r="F25" s="14" t="inlineStr">
        <is>
          <t>Monthly</t>
        </is>
      </c>
      <c r="G25" s="14" t="n"/>
      <c r="H25" s="14" t="n"/>
      <c r="I25" s="14" t="n"/>
      <c r="J25" s="14" t="n"/>
      <c r="K25" s="14" t="n"/>
      <c r="L25" s="14" t="n"/>
      <c r="M25" s="14" t="n"/>
      <c r="N25" s="14">
        <f>IF(OR(K25="",H25=""),"",K25-H25)</f>
        <v/>
      </c>
      <c r="O25" s="14">
        <f>IF(OR(L25="",I25=""),"",L25-I25)</f>
        <v/>
      </c>
      <c r="P25" s="14">
        <f>IF(OR(M25="",J25=""),"",M25-J25)</f>
        <v/>
      </c>
      <c r="Q25" s="16">
        <f>IF(OR(K25="",H25="",H25=0),"",K25/H25)</f>
        <v/>
      </c>
      <c r="R25" s="16">
        <f>IF(OR(L25="",I25="",I25=0),"",L25/I25)</f>
        <v/>
      </c>
      <c r="S25" s="16">
        <f>IF(OR(M25="",J25="",J25=0),"",M25/J25)</f>
        <v/>
      </c>
      <c r="T25" s="14">
        <f>IF(Q25="","",IF(Q25&gt;=0.9,"On Track",IF(Q25&gt;=0.7,"At Risk","Off Track")))</f>
        <v/>
      </c>
      <c r="U25" s="14">
        <f>IF(R25="","",IF(R25&gt;=0.9,"On Track",IF(R25&gt;=0.7,"At Risk","Off Track")))</f>
        <v/>
      </c>
      <c r="V25" s="14">
        <f>IF(S25="","",IF(S25&gt;=0.9,"On Track",IF(S25&gt;=0.7,"At Risk","Off Track")))</f>
        <v/>
      </c>
      <c r="W25" s="14" t="inlineStr">
        <is>
          <t>tbl_DemandReduction</t>
        </is>
      </c>
      <c r="X25" s="14" t="n"/>
      <c r="Y25" s="14" t="n"/>
      <c r="Z25" s="14" t="n"/>
      <c r="AA25" s="14" t="n"/>
      <c r="AB25" s="14" t="n"/>
      <c r="AC25" s="14" t="n"/>
    </row>
    <row r="26">
      <c r="A26" s="14" t="inlineStr">
        <is>
          <t>KPI-0025</t>
        </is>
      </c>
      <c r="B26" s="14" t="inlineStr">
        <is>
          <t>Demand Reduction</t>
        </is>
      </c>
      <c r="C26" s="14" t="inlineStr">
        <is>
          <t>Community Outreach</t>
        </is>
      </c>
      <c r="D26" s="14" t="inlineStr">
        <is>
          <t>Communities Reached</t>
        </is>
      </c>
      <c r="E26" s="14" t="inlineStr">
        <is>
          <t>Unique communities with sessions</t>
        </is>
      </c>
      <c r="F26" s="14" t="inlineStr">
        <is>
          <t>Monthly</t>
        </is>
      </c>
      <c r="G26" s="14" t="n"/>
      <c r="H26" s="14" t="n"/>
      <c r="I26" s="14" t="n"/>
      <c r="J26" s="14" t="n"/>
      <c r="K26" s="14" t="n"/>
      <c r="L26" s="14" t="n"/>
      <c r="M26" s="14" t="n"/>
      <c r="N26" s="14">
        <f>IF(OR(K26="",H26=""),"",K26-H26)</f>
        <v/>
      </c>
      <c r="O26" s="14">
        <f>IF(OR(L26="",I26=""),"",L26-I26)</f>
        <v/>
      </c>
      <c r="P26" s="14">
        <f>IF(OR(M26="",J26=""),"",M26-J26)</f>
        <v/>
      </c>
      <c r="Q26" s="16">
        <f>IF(OR(K26="",H26="",H26=0),"",K26/H26)</f>
        <v/>
      </c>
      <c r="R26" s="16">
        <f>IF(OR(L26="",I26="",I26=0),"",L26/I26)</f>
        <v/>
      </c>
      <c r="S26" s="16">
        <f>IF(OR(M26="",J26="",J26=0),"",M26/J26)</f>
        <v/>
      </c>
      <c r="T26" s="14">
        <f>IF(Q26="","",IF(Q26&gt;=0.9,"On Track",IF(Q26&gt;=0.7,"At Risk","Off Track")))</f>
        <v/>
      </c>
      <c r="U26" s="14">
        <f>IF(R26="","",IF(R26&gt;=0.9,"On Track",IF(R26&gt;=0.7,"At Risk","Off Track")))</f>
        <v/>
      </c>
      <c r="V26" s="14">
        <f>IF(S26="","",IF(S26&gt;=0.9,"On Track",IF(S26&gt;=0.7,"At Risk","Off Track")))</f>
        <v/>
      </c>
      <c r="W26" s="14" t="inlineStr">
        <is>
          <t>tbl_DemandReduction</t>
        </is>
      </c>
      <c r="X26" s="14" t="n"/>
      <c r="Y26" s="14" t="n"/>
      <c r="Z26" s="14" t="n"/>
      <c r="AA26" s="14" t="n"/>
      <c r="AB26" s="14" t="n"/>
      <c r="AC26" s="14" t="n"/>
    </row>
    <row r="27">
      <c r="A27" s="14" t="inlineStr">
        <is>
          <t>KPI-0026</t>
        </is>
      </c>
      <c r="B27" s="14" t="inlineStr">
        <is>
          <t>Admin/HRM</t>
        </is>
      </c>
      <c r="C27" s="14" t="inlineStr">
        <is>
          <t>Human Resources</t>
        </is>
      </c>
      <c r="D27" s="14" t="inlineStr">
        <is>
          <t>Personnel Strength</t>
        </is>
      </c>
      <c r="E27" s="14" t="inlineStr">
        <is>
          <t>Current staffing level</t>
        </is>
      </c>
      <c r="F27" s="14" t="inlineStr">
        <is>
          <t>Monthly</t>
        </is>
      </c>
      <c r="G27" s="14" t="n"/>
      <c r="H27" s="14" t="n"/>
      <c r="I27" s="14" t="n"/>
      <c r="J27" s="14" t="n"/>
      <c r="K27" s="14" t="n"/>
      <c r="L27" s="14" t="n"/>
      <c r="M27" s="14" t="n"/>
      <c r="N27" s="14">
        <f>IF(OR(K27="",H27=""),"",K27-H27)</f>
        <v/>
      </c>
      <c r="O27" s="14">
        <f>IF(OR(L27="",I27=""),"",L27-I27)</f>
        <v/>
      </c>
      <c r="P27" s="14">
        <f>IF(OR(M27="",J27=""),"",M27-J27)</f>
        <v/>
      </c>
      <c r="Q27" s="16">
        <f>IF(OR(K27="",H27="",H27=0),"",K27/H27)</f>
        <v/>
      </c>
      <c r="R27" s="16">
        <f>IF(OR(L27="",I27="",I27=0),"",L27/I27)</f>
        <v/>
      </c>
      <c r="S27" s="16">
        <f>IF(OR(M27="",J27="",J27=0),"",M27/J27)</f>
        <v/>
      </c>
      <c r="T27" s="14">
        <f>IF(Q27="","",IF(Q27&gt;=0.9,"On Track",IF(Q27&gt;=0.7,"At Risk","Off Track")))</f>
        <v/>
      </c>
      <c r="U27" s="14">
        <f>IF(R27="","",IF(R27&gt;=0.9,"On Track",IF(R27&gt;=0.7,"At Risk","Off Track")))</f>
        <v/>
      </c>
      <c r="V27" s="14">
        <f>IF(S27="","",IF(S27&gt;=0.9,"On Track",IF(S27&gt;=0.7,"At Risk","Off Track")))</f>
        <v/>
      </c>
      <c r="W27" s="14" t="inlineStr">
        <is>
          <t>Manual</t>
        </is>
      </c>
      <c r="X27" s="14" t="n"/>
      <c r="Y27" s="14" t="n"/>
      <c r="Z27" s="14" t="n"/>
      <c r="AA27" s="14" t="n"/>
      <c r="AB27" s="14" t="n"/>
      <c r="AC27" s="14" t="n"/>
    </row>
    <row r="28">
      <c r="A28" s="14" t="inlineStr">
        <is>
          <t>KPI-0027</t>
        </is>
      </c>
      <c r="B28" s="14" t="inlineStr">
        <is>
          <t>Admin/HRM</t>
        </is>
      </c>
      <c r="C28" s="14" t="inlineStr">
        <is>
          <t>Human Resources</t>
        </is>
      </c>
      <c r="D28" s="14" t="inlineStr">
        <is>
          <t>Vacancy Rate</t>
        </is>
      </c>
      <c r="E28" s="14" t="inlineStr">
        <is>
          <t>% of positions unfilled</t>
        </is>
      </c>
      <c r="F28" s="14" t="inlineStr">
        <is>
          <t>Monthly</t>
        </is>
      </c>
      <c r="G28" s="14" t="n"/>
      <c r="H28" s="14" t="n"/>
      <c r="I28" s="14" t="n"/>
      <c r="J28" s="14" t="n"/>
      <c r="K28" s="14" t="n"/>
      <c r="L28" s="14" t="n"/>
      <c r="M28" s="14" t="n"/>
      <c r="N28" s="14">
        <f>IF(OR(K28="",H28=""),"",K28-H28)</f>
        <v/>
      </c>
      <c r="O28" s="14">
        <f>IF(OR(L28="",I28=""),"",L28-I28)</f>
        <v/>
      </c>
      <c r="P28" s="14">
        <f>IF(OR(M28="",J28=""),"",M28-J28)</f>
        <v/>
      </c>
      <c r="Q28" s="16">
        <f>IF(OR(K28="",H28="",H28=0),"",K28/H28)</f>
        <v/>
      </c>
      <c r="R28" s="16">
        <f>IF(OR(L28="",I28="",I28=0),"",L28/I28)</f>
        <v/>
      </c>
      <c r="S28" s="16">
        <f>IF(OR(M28="",J28="",J28=0),"",M28/J28)</f>
        <v/>
      </c>
      <c r="T28" s="14">
        <f>IF(Q28="","",IF(Q28&gt;=0.9,"On Track",IF(Q28&gt;=0.7,"At Risk","Off Track")))</f>
        <v/>
      </c>
      <c r="U28" s="14">
        <f>IF(R28="","",IF(R28&gt;=0.9,"On Track",IF(R28&gt;=0.7,"At Risk","Off Track")))</f>
        <v/>
      </c>
      <c r="V28" s="14">
        <f>IF(S28="","",IF(S28&gt;=0.9,"On Track",IF(S28&gt;=0.7,"At Risk","Off Track")))</f>
        <v/>
      </c>
      <c r="W28" s="14" t="inlineStr">
        <is>
          <t>Manual</t>
        </is>
      </c>
      <c r="X28" s="14" t="n"/>
      <c r="Y28" s="14" t="n"/>
      <c r="Z28" s="14" t="n"/>
      <c r="AA28" s="14" t="n"/>
      <c r="AB28" s="14" t="n"/>
      <c r="AC28" s="14" t="n"/>
    </row>
    <row r="29">
      <c r="A29" s="14" t="inlineStr">
        <is>
          <t>KPI-0028</t>
        </is>
      </c>
      <c r="B29" s="14" t="inlineStr">
        <is>
          <t>Training</t>
        </is>
      </c>
      <c r="C29" s="14" t="inlineStr">
        <is>
          <t>Capacity Building</t>
        </is>
      </c>
      <c r="D29" s="14" t="inlineStr">
        <is>
          <t>Training Sessions Conducted</t>
        </is>
      </c>
      <c r="E29" s="14" t="inlineStr">
        <is>
          <t>In-service training sessions</t>
        </is>
      </c>
      <c r="F29" s="14" t="inlineStr">
        <is>
          <t>Monthly</t>
        </is>
      </c>
      <c r="G29" s="14" t="n"/>
      <c r="H29" s="14" t="n"/>
      <c r="I29" s="14" t="n"/>
      <c r="J29" s="14" t="n"/>
      <c r="K29" s="14" t="n"/>
      <c r="L29" s="14" t="n"/>
      <c r="M29" s="14" t="n"/>
      <c r="N29" s="14">
        <f>IF(OR(K29="",H29=""),"",K29-H29)</f>
        <v/>
      </c>
      <c r="O29" s="14">
        <f>IF(OR(L29="",I29=""),"",L29-I29)</f>
        <v/>
      </c>
      <c r="P29" s="14">
        <f>IF(OR(M29="",J29=""),"",M29-J29)</f>
        <v/>
      </c>
      <c r="Q29" s="16">
        <f>IF(OR(K29="",H29="",H29=0),"",K29/H29)</f>
        <v/>
      </c>
      <c r="R29" s="16">
        <f>IF(OR(L29="",I29="",I29=0),"",L29/I29)</f>
        <v/>
      </c>
      <c r="S29" s="16">
        <f>IF(OR(M29="",J29="",J29=0),"",M29/J29)</f>
        <v/>
      </c>
      <c r="T29" s="14">
        <f>IF(Q29="","",IF(Q29&gt;=0.9,"On Track",IF(Q29&gt;=0.7,"At Risk","Off Track")))</f>
        <v/>
      </c>
      <c r="U29" s="14">
        <f>IF(R29="","",IF(R29&gt;=0.9,"On Track",IF(R29&gt;=0.7,"At Risk","Off Track")))</f>
        <v/>
      </c>
      <c r="V29" s="14">
        <f>IF(S29="","",IF(S29&gt;=0.9,"On Track",IF(S29&gt;=0.7,"At Risk","Off Track")))</f>
        <v/>
      </c>
      <c r="W29" s="14" t="inlineStr">
        <is>
          <t>Manual</t>
        </is>
      </c>
      <c r="X29" s="14" t="n"/>
      <c r="Y29" s="14" t="n"/>
      <c r="Z29" s="14" t="n"/>
      <c r="AA29" s="14" t="n"/>
      <c r="AB29" s="14" t="n"/>
      <c r="AC29" s="14" t="n"/>
    </row>
    <row r="30">
      <c r="A30" s="14" t="inlineStr">
        <is>
          <t>KPI-0029</t>
        </is>
      </c>
      <c r="B30" s="14" t="inlineStr">
        <is>
          <t>Training</t>
        </is>
      </c>
      <c r="C30" s="14" t="inlineStr">
        <is>
          <t>Capacity Building</t>
        </is>
      </c>
      <c r="D30" s="14" t="inlineStr">
        <is>
          <t>Personnel Trained</t>
        </is>
      </c>
      <c r="E30" s="14" t="inlineStr">
        <is>
          <t>Number of officers trained</t>
        </is>
      </c>
      <c r="F30" s="14" t="inlineStr">
        <is>
          <t>Monthly</t>
        </is>
      </c>
      <c r="G30" s="14" t="n"/>
      <c r="H30" s="14" t="n"/>
      <c r="I30" s="14" t="n"/>
      <c r="J30" s="14" t="n"/>
      <c r="K30" s="14" t="n"/>
      <c r="L30" s="14" t="n"/>
      <c r="M30" s="14" t="n"/>
      <c r="N30" s="14">
        <f>IF(OR(K30="",H30=""),"",K30-H30)</f>
        <v/>
      </c>
      <c r="O30" s="14">
        <f>IF(OR(L30="",I30=""),"",L30-I30)</f>
        <v/>
      </c>
      <c r="P30" s="14">
        <f>IF(OR(M30="",J30=""),"",M30-J30)</f>
        <v/>
      </c>
      <c r="Q30" s="16">
        <f>IF(OR(K30="",H30="",H30=0),"",K30/H30)</f>
        <v/>
      </c>
      <c r="R30" s="16">
        <f>IF(OR(L30="",I30="",I30=0),"",L30/I30)</f>
        <v/>
      </c>
      <c r="S30" s="16">
        <f>IF(OR(M30="",J30="",J30=0),"",M30/J30)</f>
        <v/>
      </c>
      <c r="T30" s="14">
        <f>IF(Q30="","",IF(Q30&gt;=0.9,"On Track",IF(Q30&gt;=0.7,"At Risk","Off Track")))</f>
        <v/>
      </c>
      <c r="U30" s="14">
        <f>IF(R30="","",IF(R30&gt;=0.9,"On Track",IF(R30&gt;=0.7,"At Risk","Off Track")))</f>
        <v/>
      </c>
      <c r="V30" s="14">
        <f>IF(S30="","",IF(S30&gt;=0.9,"On Track",IF(S30&gt;=0.7,"At Risk","Off Track")))</f>
        <v/>
      </c>
      <c r="W30" s="14" t="inlineStr">
        <is>
          <t>Manual</t>
        </is>
      </c>
      <c r="X30" s="14" t="n"/>
      <c r="Y30" s="14" t="n"/>
      <c r="Z30" s="14" t="n"/>
      <c r="AA30" s="14" t="n"/>
      <c r="AB30" s="14" t="n"/>
      <c r="AC30" s="14" t="n"/>
    </row>
    <row r="31">
      <c r="A31" s="14" t="inlineStr">
        <is>
          <t>KPI-0030</t>
        </is>
      </c>
      <c r="B31" s="14" t="inlineStr">
        <is>
          <t>Oversight</t>
        </is>
      </c>
      <c r="C31" s="14" t="inlineStr">
        <is>
          <t>Compliance &amp; Governance</t>
        </is>
      </c>
      <c r="D31" s="14" t="inlineStr">
        <is>
          <t>Non-Conformities Identified</t>
        </is>
      </c>
      <c r="E31" s="14" t="inlineStr">
        <is>
          <t>Total compliance issues found</t>
        </is>
      </c>
      <c r="F31" s="14" t="inlineStr">
        <is>
          <t>Monthly</t>
        </is>
      </c>
      <c r="G31" s="14" t="n"/>
      <c r="H31" s="14" t="n"/>
      <c r="I31" s="14" t="n"/>
      <c r="J31" s="14" t="n"/>
      <c r="K31" s="14" t="n"/>
      <c r="L31" s="14" t="n"/>
      <c r="M31" s="14" t="n"/>
      <c r="N31" s="14">
        <f>IF(OR(K31="",H31=""),"",K31-H31)</f>
        <v/>
      </c>
      <c r="O31" s="14">
        <f>IF(OR(L31="",I31=""),"",L31-I31)</f>
        <v/>
      </c>
      <c r="P31" s="14">
        <f>IF(OR(M31="",J31=""),"",M31-J31)</f>
        <v/>
      </c>
      <c r="Q31" s="16">
        <f>IF(OR(K31="",H31="",H31=0),"",K31/H31)</f>
        <v/>
      </c>
      <c r="R31" s="16">
        <f>IF(OR(L31="",I31="",I31=0),"",L31/I31)</f>
        <v/>
      </c>
      <c r="S31" s="16">
        <f>IF(OR(M31="",J31="",J31=0),"",M31/J31)</f>
        <v/>
      </c>
      <c r="T31" s="14">
        <f>IF(Q31="","",IF(Q31&gt;=0.9,"On Track",IF(Q31&gt;=0.7,"At Risk","Off Track")))</f>
        <v/>
      </c>
      <c r="U31" s="14">
        <f>IF(R31="","",IF(R31&gt;=0.9,"On Track",IF(R31&gt;=0.7,"At Risk","Off Track")))</f>
        <v/>
      </c>
      <c r="V31" s="14">
        <f>IF(S31="","",IF(S31&gt;=0.9,"On Track",IF(S31&gt;=0.7,"At Risk","Off Track")))</f>
        <v/>
      </c>
      <c r="W31" s="14" t="inlineStr">
        <is>
          <t>Manual</t>
        </is>
      </c>
      <c r="X31" s="14" t="n"/>
      <c r="Y31" s="14" t="n"/>
      <c r="Z31" s="14" t="n"/>
      <c r="AA31" s="14" t="n"/>
      <c r="AB31" s="14" t="n"/>
      <c r="AC31" s="14" t="n"/>
    </row>
    <row r="32">
      <c r="A32" s="14" t="inlineStr">
        <is>
          <t>KPI-0031</t>
        </is>
      </c>
      <c r="B32" s="14" t="inlineStr">
        <is>
          <t>Oversight</t>
        </is>
      </c>
      <c r="C32" s="14" t="inlineStr">
        <is>
          <t>Compliance &amp; Governance</t>
        </is>
      </c>
      <c r="D32" s="14" t="inlineStr">
        <is>
          <t>Overdue Actions</t>
        </is>
      </c>
      <c r="E32" s="14" t="inlineStr">
        <is>
          <t>Count of overdue action items</t>
        </is>
      </c>
      <c r="F32" s="14" t="inlineStr">
        <is>
          <t>Monthly</t>
        </is>
      </c>
      <c r="G32" s="14" t="n"/>
      <c r="H32" s="14" t="n"/>
      <c r="I32" s="14" t="n"/>
      <c r="J32" s="14" t="n"/>
      <c r="K32" s="14" t="n"/>
      <c r="L32" s="14" t="n"/>
      <c r="M32" s="14" t="n"/>
      <c r="N32" s="14">
        <f>IF(OR(K32="",H32=""),"",K32-H32)</f>
        <v/>
      </c>
      <c r="O32" s="14">
        <f>IF(OR(L32="",I32=""),"",L32-I32)</f>
        <v/>
      </c>
      <c r="P32" s="14">
        <f>IF(OR(M32="",J32=""),"",M32-J32)</f>
        <v/>
      </c>
      <c r="Q32" s="16">
        <f>IF(OR(K32="",H32="",H32=0),"",K32/H32)</f>
        <v/>
      </c>
      <c r="R32" s="16">
        <f>IF(OR(L32="",I32="",I32=0),"",L32/I32)</f>
        <v/>
      </c>
      <c r="S32" s="16">
        <f>IF(OR(M32="",J32="",J32=0),"",M32/J32)</f>
        <v/>
      </c>
      <c r="T32" s="14">
        <f>IF(Q32="","",IF(Q32&gt;=0.9,"On Track",IF(Q32&gt;=0.7,"At Risk","Off Track")))</f>
        <v/>
      </c>
      <c r="U32" s="14">
        <f>IF(R32="","",IF(R32&gt;=0.9,"On Track",IF(R32&gt;=0.7,"At Risk","Off Track")))</f>
        <v/>
      </c>
      <c r="V32" s="14">
        <f>IF(S32="","",IF(S32&gt;=0.9,"On Track",IF(S32&gt;=0.7,"At Risk","Off Track")))</f>
        <v/>
      </c>
      <c r="W32" s="14" t="inlineStr">
        <is>
          <t>tbl_Actions</t>
        </is>
      </c>
      <c r="X32" s="14" t="n"/>
      <c r="Y32" s="14" t="n"/>
      <c r="Z32" s="14" t="n"/>
      <c r="AA32" s="14" t="n"/>
      <c r="AB32" s="14" t="n"/>
      <c r="AC32" s="14" t="n"/>
    </row>
    <row r="33">
      <c r="A33" s="14" t="inlineStr">
        <is>
          <t>KPI-0032</t>
        </is>
      </c>
      <c r="B33" s="14" t="inlineStr">
        <is>
          <t>Oversight</t>
        </is>
      </c>
      <c r="C33" s="14" t="inlineStr">
        <is>
          <t>Compliance &amp; Governance</t>
        </is>
      </c>
      <c r="D33" s="14" t="inlineStr">
        <is>
          <t>KPIs Off Track</t>
        </is>
      </c>
      <c r="E33" s="14" t="inlineStr">
        <is>
          <t>Number of KPIs rated Off Track</t>
        </is>
      </c>
      <c r="F33" s="14" t="inlineStr">
        <is>
          <t>Monthly</t>
        </is>
      </c>
      <c r="G33" s="14" t="n"/>
      <c r="H33" s="14" t="n"/>
      <c r="I33" s="14" t="n"/>
      <c r="J33" s="14" t="n"/>
      <c r="K33" s="14" t="n"/>
      <c r="L33" s="14" t="n"/>
      <c r="M33" s="14" t="n"/>
      <c r="N33" s="14">
        <f>IF(OR(K33="",H33=""),"",K33-H33)</f>
        <v/>
      </c>
      <c r="O33" s="14">
        <f>IF(OR(L33="",I33=""),"",L33-I33)</f>
        <v/>
      </c>
      <c r="P33" s="14">
        <f>IF(OR(M33="",J33=""),"",M33-J33)</f>
        <v/>
      </c>
      <c r="Q33" s="16">
        <f>IF(OR(K33="",H33="",H33=0),"",K33/H33)</f>
        <v/>
      </c>
      <c r="R33" s="16">
        <f>IF(OR(L33="",I33="",I33=0),"",L33/I33)</f>
        <v/>
      </c>
      <c r="S33" s="16">
        <f>IF(OR(M33="",J33="",J33=0),"",M33/J33)</f>
        <v/>
      </c>
      <c r="T33" s="14">
        <f>IF(Q33="","",IF(Q33&gt;=0.9,"On Track",IF(Q33&gt;=0.7,"At Risk","Off Track")))</f>
        <v/>
      </c>
      <c r="U33" s="14">
        <f>IF(R33="","",IF(R33&gt;=0.9,"On Track",IF(R33&gt;=0.7,"At Risk","Off Track")))</f>
        <v/>
      </c>
      <c r="V33" s="14">
        <f>IF(S33="","",IF(S33&gt;=0.9,"On Track",IF(S33&gt;=0.7,"At Risk","Off Track")))</f>
        <v/>
      </c>
      <c r="W33" s="14" t="inlineStr">
        <is>
          <t>tbl_UnitPlans</t>
        </is>
      </c>
      <c r="X33" s="14" t="n"/>
      <c r="Y33" s="14" t="n"/>
      <c r="Z33" s="14" t="n"/>
      <c r="AA33" s="14" t="n"/>
      <c r="AB33" s="14" t="n"/>
      <c r="AC33" s="14" t="n"/>
    </row>
  </sheetData>
  <conditionalFormatting sqref="T2:T1000">
    <cfRule type="expression" priority="1" dxfId="2">
      <formula>=T2="On Track"</formula>
    </cfRule>
    <cfRule type="expression" priority="2" dxfId="1">
      <formula>=T2="At Risk"</formula>
    </cfRule>
    <cfRule type="expression" priority="3" dxfId="0">
      <formula>=T2="Off Track"</formula>
    </cfRule>
  </conditionalFormatting>
  <conditionalFormatting sqref="U2:U1000">
    <cfRule type="expression" priority="4" dxfId="2">
      <formula>=U2="On Track"</formula>
    </cfRule>
    <cfRule type="expression" priority="5" dxfId="1">
      <formula>=U2="At Risk"</formula>
    </cfRule>
    <cfRule type="expression" priority="6" dxfId="0">
      <formula>=U2="Off Track"</formula>
    </cfRule>
  </conditionalFormatting>
  <conditionalFormatting sqref="V2:V1000">
    <cfRule type="expression" priority="7" dxfId="2">
      <formula>=V2="On Track"</formula>
    </cfRule>
    <cfRule type="expression" priority="8" dxfId="1">
      <formula>=V2="At Risk"</formula>
    </cfRule>
    <cfRule type="expression" priority="9" dxfId="0">
      <formula>=V2="Off Track"</formula>
    </cfRule>
  </conditionalFormatting>
  <dataValidations count="5">
    <dataValidation sqref="B2:B1000" showDropDown="0" showInputMessage="0" showErrorMessage="0" allowBlank="1" errorTitle="Invalid Entry" error="Please select from the list." type="list">
      <formula1>=Lookups!$E$2:$E$11</formula1>
    </dataValidation>
    <dataValidation sqref="F2:F1000" showDropDown="0" showInputMessage="0" showErrorMessage="0" allowBlank="1" errorTitle="Invalid Entry" error="Please select from the list." type="list">
      <formula1>=Lookups!$R$2:$R$6</formula1>
    </dataValidation>
    <dataValidation sqref="T2:T1000" showDropDown="0" showInputMessage="0" showErrorMessage="0" allowBlank="1" errorTitle="Invalid Entry" error="Please select from the list." type="list">
      <formula1>=Lookups!$P$2:$P$4</formula1>
    </dataValidation>
    <dataValidation sqref="U2:U1000" showDropDown="0" showInputMessage="0" showErrorMessage="0" allowBlank="1" errorTitle="Invalid Entry" error="Please select from the list." type="list">
      <formula1>=Lookups!$P$2:$P$4</formula1>
    </dataValidation>
    <dataValidation sqref="V2:V1000" showDropDown="0" showInputMessage="0" showErrorMessage="0" allowBlank="1" errorTitle="Invalid Entry" error="Please select from the list." type="list">
      <formula1>=Lookups!$P$2:$P$4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3864"/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REGISTRY PORTAL</t>
        </is>
      </c>
    </row>
    <row r="2" ht="24" customHeight="1">
      <c r="A2" s="18" t="inlineStr">
        <is>
          <t>Case Registration, CR Tracking &amp; Compliance</t>
        </is>
      </c>
    </row>
    <row r="3" ht="18" customHeight="1">
      <c r="A3" s="19" t="inlineStr">
        <is>
          <t>Unit: Registry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Cases Registered</t>
        </is>
      </c>
      <c r="B7" s="22">
        <f>IFERROR(INDEX(tbl_UnitPlans[Target_Monthly],MATCH("Cases Registered",tbl_UnitPlans[KPI_Name],0)),"—")</f>
        <v/>
      </c>
      <c r="C7" s="23">
        <f>IFERROR(INDEX(tbl_UnitPlans[Actual_MTD],MATCH("Cases Registered",tbl_UnitPlans[KPI_Name],0)),"—")</f>
        <v/>
      </c>
      <c r="D7" s="23">
        <f>IFERROR(INDEX(tbl_UnitPlans[Variance_Monthly],MATCH("Cases Registered",tbl_UnitPlans[KPI_Name],0)),"—")</f>
        <v/>
      </c>
      <c r="E7" s="24">
        <f>IFERROR(INDEX(tbl_UnitPlans[Achievement_Pct_Monthly],MATCH("Cases Registered",tbl_UnitPlans[KPI_Name],0)),"—")</f>
        <v/>
      </c>
      <c r="F7" s="23">
        <f>IFERROR(INDEX(tbl_UnitPlans[TrafficLight_Monthly],MATCH("Cases Registered",tbl_UnitPlans[KPI_Name],0)),"—")</f>
        <v/>
      </c>
    </row>
    <row r="8">
      <c r="A8" s="22" t="inlineStr">
        <is>
          <t>CR Compliance Rate</t>
        </is>
      </c>
      <c r="B8" s="22">
        <f>IFERROR(INDEX(tbl_UnitPlans[Target_Monthly],MATCH("CR Compliance Rate",tbl_UnitPlans[KPI_Name],0)),"—")</f>
        <v/>
      </c>
      <c r="C8" s="23">
        <f>IFERROR(INDEX(tbl_UnitPlans[Actual_MTD],MATCH("CR Compliance Rate",tbl_UnitPlans[KPI_Name],0)),"—")</f>
        <v/>
      </c>
      <c r="D8" s="23">
        <f>IFERROR(INDEX(tbl_UnitPlans[Variance_Monthly],MATCH("CR Compliance Rate",tbl_UnitPlans[KPI_Name],0)),"—")</f>
        <v/>
      </c>
      <c r="E8" s="24">
        <f>IFERROR(INDEX(tbl_UnitPlans[Achievement_Pct_Monthly],MATCH("CR Compliance Rate",tbl_UnitPlans[KPI_Name],0)),"—")</f>
        <v/>
      </c>
      <c r="F8" s="23">
        <f>IFERROR(INDEX(tbl_UnitPlans[TrafficLight_Monthly],MATCH("CR Compliance Rate",tbl_UnitPlans[KPI_Name],0)),"—")</f>
        <v/>
      </c>
    </row>
    <row r="9">
      <c r="A9" s="22" t="inlineStr">
        <is>
          <t>Avg Days to First Action</t>
        </is>
      </c>
      <c r="B9" s="22">
        <f>IFERROR(INDEX(tbl_UnitPlans[Target_Monthly],MATCH("Avg Days to First Action",tbl_UnitPlans[KPI_Name],0)),"—")</f>
        <v/>
      </c>
      <c r="C9" s="23">
        <f>IFERROR(INDEX(tbl_UnitPlans[Actual_MTD],MATCH("Avg Days to First Action",tbl_UnitPlans[KPI_Name],0)),"—")</f>
        <v/>
      </c>
      <c r="D9" s="23">
        <f>IFERROR(INDEX(tbl_UnitPlans[Variance_Monthly],MATCH("Avg Days to First Action",tbl_UnitPlans[KPI_Name],0)),"—")</f>
        <v/>
      </c>
      <c r="E9" s="24">
        <f>IFERROR(INDEX(tbl_UnitPlans[Achievement_Pct_Monthly],MATCH("Avg Days to First Action",tbl_UnitPlans[KPI_Name],0)),"—")</f>
        <v/>
      </c>
      <c r="F9" s="23">
        <f>IFERROR(INDEX(tbl_UnitPlans[TrafficLight_Monthly],MATCH("Avg Days to First Action",tbl_UnitPlans[KPI_Name],0)),"—")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Open Cases</t>
        </is>
      </c>
      <c r="C12" s="25" t="inlineStr">
        <is>
          <t>Active Cases</t>
        </is>
      </c>
      <c r="D12" s="25" t="inlineStr">
        <is>
          <t>Pending Review</t>
        </is>
      </c>
      <c r="E12" s="25" t="inlineStr">
        <is>
          <t>Closed Cases</t>
        </is>
      </c>
      <c r="F12" s="25" t="inlineStr">
        <is>
          <t>CR1 Compliant %</t>
        </is>
      </c>
      <c r="G12" s="25" t="inlineStr">
        <is>
          <t>Non-Compliant</t>
        </is>
      </c>
      <c r="H12" s="25" t="inlineStr">
        <is>
          <t>Overdue Actions</t>
        </is>
      </c>
    </row>
    <row r="13">
      <c r="A13" s="26">
        <f>COUNTA(tbl_Cases[CaseID])-COUNTBLANK(tbl_Cases[CaseID])</f>
        <v/>
      </c>
      <c r="B13" s="26">
        <f>COUNTIF(tbl_Cases[CaseStatus],"Open")</f>
        <v/>
      </c>
      <c r="C13" s="26">
        <f>COUNTIF(tbl_Cases[CaseStatus],"Active")</f>
        <v/>
      </c>
      <c r="D13" s="26">
        <f>COUNTIF(tbl_Cases[CaseStatus],"Pending Review")</f>
        <v/>
      </c>
      <c r="E13" s="26">
        <f>COUNTIFS(tbl_Cases[CaseStatus],"Closed*")</f>
        <v/>
      </c>
      <c r="F13" s="26">
        <f>IFERROR(COUNTIF(tbl_Cases[CR1_Compliant],"Yes")/COUNTA(tbl_Cases[CR1_Compliant]),"—")</f>
        <v/>
      </c>
      <c r="G13" s="26">
        <f>COUNTIF(tbl_Cases[ComplianceFlag],"Non-Compliant")</f>
        <v/>
      </c>
      <c r="H13" s="26">
        <f>COUNTIFS(tbl_Actions[DueDate],"&lt;"&amp;TODAY(),tbl_Actions[CompletedDate],"")</f>
        <v/>
      </c>
    </row>
    <row r="18">
      <c r="A18" s="27" t="inlineStr">
        <is>
          <t>DATA ENTRY: Navigate to sheet 'tbl_Cases' to register new cases. Use 'tbl_Actions' for action items. Use 'tbl_Reviews' for supervisory reviews.</t>
        </is>
      </c>
    </row>
  </sheetData>
  <mergeCells count="6">
    <mergeCell ref="A1:H1"/>
    <mergeCell ref="A18:H18"/>
    <mergeCell ref="A3:H3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INVESTIGATIONS PORTAL</t>
        </is>
      </c>
    </row>
    <row r="2" ht="24" customHeight="1">
      <c r="A2" s="18" t="inlineStr">
        <is>
          <t>Case Investigation Tracking &amp; Supervisory Review</t>
        </is>
      </c>
    </row>
    <row r="3" ht="18" customHeight="1">
      <c r="A3" s="19" t="inlineStr">
        <is>
          <t>Unit: Investigations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Active Cases</t>
        </is>
      </c>
      <c r="B7" s="22">
        <f>IFERROR(INDEX(tbl_UnitPlans[Target_Monthly],MATCH("Active Cases",tbl_UnitPlans[KPI_Name],0)),"—")</f>
        <v/>
      </c>
      <c r="C7" s="23">
        <f>IFERROR(INDEX(tbl_UnitPlans[Actual_MTD],MATCH("Active Cases",tbl_UnitPlans[KPI_Name],0)),"—")</f>
        <v/>
      </c>
      <c r="D7" s="23">
        <f>IFERROR(INDEX(tbl_UnitPlans[Variance_Monthly],MATCH("Active Cases",tbl_UnitPlans[KPI_Name],0)),"—")</f>
        <v/>
      </c>
      <c r="E7" s="24">
        <f>IFERROR(INDEX(tbl_UnitPlans[Achievement_Pct_Monthly],MATCH("Active Cases",tbl_UnitPlans[KPI_Name],0)),"—")</f>
        <v/>
      </c>
      <c r="F7" s="23">
        <f>IFERROR(INDEX(tbl_UnitPlans[TrafficLight_Monthly],MATCH("Active Cases",tbl_UnitPlans[KPI_Name],0)),"—")</f>
        <v/>
      </c>
    </row>
    <row r="8">
      <c r="A8" s="22" t="inlineStr">
        <is>
          <t>Cases Closed</t>
        </is>
      </c>
      <c r="B8" s="22">
        <f>IFERROR(INDEX(tbl_UnitPlans[Target_Monthly],MATCH("Cases Closed",tbl_UnitPlans[KPI_Name],0)),"—")</f>
        <v/>
      </c>
      <c r="C8" s="23">
        <f>IFERROR(INDEX(tbl_UnitPlans[Actual_MTD],MATCH("Cases Closed",tbl_UnitPlans[KPI_Name],0)),"—")</f>
        <v/>
      </c>
      <c r="D8" s="23">
        <f>IFERROR(INDEX(tbl_UnitPlans[Variance_Monthly],MATCH("Cases Closed",tbl_UnitPlans[KPI_Name],0)),"—")</f>
        <v/>
      </c>
      <c r="E8" s="24">
        <f>IFERROR(INDEX(tbl_UnitPlans[Achievement_Pct_Monthly],MATCH("Cases Closed",tbl_UnitPlans[KPI_Name],0)),"—")</f>
        <v/>
      </c>
      <c r="F8" s="23">
        <f>IFERROR(INDEX(tbl_UnitPlans[TrafficLight_Monthly],MATCH("Cases Closed",tbl_UnitPlans[KPI_Name],0)),"—")</f>
        <v/>
      </c>
    </row>
    <row r="9">
      <c r="A9" s="22" t="inlineStr">
        <is>
          <t>Case Clearance Rate</t>
        </is>
      </c>
      <c r="B9" s="22">
        <f>IFERROR(INDEX(tbl_UnitPlans[Target_Monthly],MATCH("Case Clearance Rate",tbl_UnitPlans[KPI_Name],0)),"—")</f>
        <v/>
      </c>
      <c r="C9" s="23">
        <f>IFERROR(INDEX(tbl_UnitPlans[Actual_MTD],MATCH("Case Clearance Rate",tbl_UnitPlans[KPI_Name],0)),"—")</f>
        <v/>
      </c>
      <c r="D9" s="23">
        <f>IFERROR(INDEX(tbl_UnitPlans[Variance_Monthly],MATCH("Case Clearance Rate",tbl_UnitPlans[KPI_Name],0)),"—")</f>
        <v/>
      </c>
      <c r="E9" s="24">
        <f>IFERROR(INDEX(tbl_UnitPlans[Achievement_Pct_Monthly],MATCH("Case Clearance Rate",tbl_UnitPlans[KPI_Name],0)),"—")</f>
        <v/>
      </c>
      <c r="F9" s="23">
        <f>IFERROR(INDEX(tbl_UnitPlans[TrafficLight_Monthly],MATCH("Case Clearance Rate",tbl_UnitPlans[KPI_Name],0)),"—")</f>
        <v/>
      </c>
    </row>
    <row r="10">
      <c r="A10" s="22" t="inlineStr">
        <is>
          <t>Supervisory Reviews Done</t>
        </is>
      </c>
      <c r="B10" s="22">
        <f>IFERROR(INDEX(tbl_UnitPlans[Target_Monthly],MATCH("Supervisory Reviews Done",tbl_UnitPlans[KPI_Name],0)),"—")</f>
        <v/>
      </c>
      <c r="C10" s="23">
        <f>IFERROR(INDEX(tbl_UnitPlans[Actual_MTD],MATCH("Supervisory Reviews Done",tbl_UnitPlans[KPI_Name],0)),"—")</f>
        <v/>
      </c>
      <c r="D10" s="23">
        <f>IFERROR(INDEX(tbl_UnitPlans[Variance_Monthly],MATCH("Supervisory Reviews Done",tbl_UnitPlans[KPI_Name],0)),"—")</f>
        <v/>
      </c>
      <c r="E10" s="24">
        <f>IFERROR(INDEX(tbl_UnitPlans[Achievement_Pct_Monthly],MATCH("Supervisory Reviews Done",tbl_UnitPlans[KPI_Name],0)),"—")</f>
        <v/>
      </c>
      <c r="F10" s="23">
        <f>IFERROR(INDEX(tbl_UnitPlans[TrafficLight_Monthly],MATCH("Supervisory Reviews Done",tbl_UnitPlans[KPI_Name],0)),"—")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Under Investigation</t>
        </is>
      </c>
      <c r="B13" s="25" t="inlineStr">
        <is>
          <t>Pending Court</t>
        </is>
      </c>
      <c r="C13" s="25" t="inlineStr">
        <is>
          <t>Cold Cases</t>
        </is>
      </c>
      <c r="D13" s="25" t="inlineStr">
        <is>
          <t>Reviews Completed</t>
        </is>
      </c>
      <c r="E13" s="25" t="inlineStr">
        <is>
          <t>Overdue Reviews</t>
        </is>
      </c>
      <c r="F13" s="25" t="inlineStr">
        <is>
          <t>Diary Entries</t>
        </is>
      </c>
      <c r="G13" s="25" t="inlineStr">
        <is>
          <t>Persons of Interest</t>
        </is>
      </c>
      <c r="H13" s="25" t="inlineStr">
        <is>
          <t>Linked Leads</t>
        </is>
      </c>
    </row>
    <row r="14">
      <c r="A14" s="26">
        <f>COUNTIF(tbl_Cases[CaseStatus],"Under Investigation")</f>
        <v/>
      </c>
      <c r="B14" s="26">
        <f>COUNTIF(tbl_Cases[CaseStatus],"Pending Court")</f>
        <v/>
      </c>
      <c r="C14" s="26">
        <f>COUNTIF(tbl_Cases[CaseStatus],"Cold Case")</f>
        <v/>
      </c>
      <c r="D14" s="26">
        <f>COUNTA(tbl_Reviews[ReviewID])-COUNTBLANK(tbl_Reviews[ReviewID])</f>
        <v/>
      </c>
      <c r="E14" s="26">
        <f>COUNTIFS(tbl_Reviews[DueDate],"&lt;"&amp;TODAY(),tbl_Reviews[Status],"&lt;&gt;Completed")</f>
        <v/>
      </c>
      <c r="F14" s="26">
        <f>COUNTA(tbl_DiaryEntries[DiaryID])-COUNTBLANK(tbl_DiaryEntries[DiaryID])</f>
        <v/>
      </c>
      <c r="G14" s="26">
        <f>COUNTA(tbl_Persons[PersonID])-COUNTBLANK(tbl_Persons[PersonID])</f>
        <v/>
      </c>
      <c r="H14" s="26">
        <f>COUNTIFS(tbl_Cases[LinkedLeadID],"&lt;&gt;")</f>
        <v/>
      </c>
    </row>
    <row r="19">
      <c r="A19" s="27" t="inlineStr">
        <is>
          <t>DATA ENTRY: Navigate to 'tbl_Cases' for case updates, 'tbl_DiaryEntries' for investigation diary, 'tbl_Reviews' for supervisory reviews, 'tbl_Persons' for suspect/witness data.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C000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OPERATIONS PORTAL</t>
        </is>
      </c>
    </row>
    <row r="2" ht="24" customHeight="1">
      <c r="A2" s="18" t="inlineStr">
        <is>
          <t>Operational Activity, FCSI Tracking &amp; Outcomes</t>
        </is>
      </c>
    </row>
    <row r="3" ht="18" customHeight="1">
      <c r="A3" s="19" t="inlineStr">
        <is>
          <t>Unit: Operations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Total Operations Conducted</t>
        </is>
      </c>
      <c r="B7" s="22">
        <f>IFERROR(INDEX(tbl_UnitPlans[Target_Monthly],MATCH("Total Operations Conducted",tbl_UnitPlans[KPI_Name],0)),"—")</f>
        <v/>
      </c>
      <c r="C7" s="23">
        <f>IFERROR(INDEX(tbl_UnitPlans[Actual_MTD],MATCH("Total Operations Conducted",tbl_UnitPlans[KPI_Name],0)),"—")</f>
        <v/>
      </c>
      <c r="D7" s="23">
        <f>IFERROR(INDEX(tbl_UnitPlans[Variance_Monthly],MATCH("Total Operations Conducted",tbl_UnitPlans[KPI_Name],0)),"—")</f>
        <v/>
      </c>
      <c r="E7" s="24">
        <f>IFERROR(INDEX(tbl_UnitPlans[Achievement_Pct_Monthly],MATCH("Total Operations Conducted",tbl_UnitPlans[KPI_Name],0)),"—")</f>
        <v/>
      </c>
      <c r="F7" s="23">
        <f>IFERROR(INDEX(tbl_UnitPlans[TrafficLight_Monthly],MATCH("Total Operations Conducted",tbl_UnitPlans[KPI_Name],0)),"—")</f>
        <v/>
      </c>
    </row>
    <row r="8">
      <c r="A8" s="22" t="inlineStr">
        <is>
          <t>FCSI Operations Conducted</t>
        </is>
      </c>
      <c r="B8" s="22">
        <f>IFERROR(INDEX(tbl_UnitPlans[Target_Monthly],MATCH("FCSI Operations Conducted",tbl_UnitPlans[KPI_Name],0)),"—")</f>
        <v/>
      </c>
      <c r="C8" s="23">
        <f>IFERROR(INDEX(tbl_UnitPlans[Actual_MTD],MATCH("FCSI Operations Conducted",tbl_UnitPlans[KPI_Name],0)),"—")</f>
        <v/>
      </c>
      <c r="D8" s="23">
        <f>IFERROR(INDEX(tbl_UnitPlans[Variance_Monthly],MATCH("FCSI Operations Conducted",tbl_UnitPlans[KPI_Name],0)),"—")</f>
        <v/>
      </c>
      <c r="E8" s="24">
        <f>IFERROR(INDEX(tbl_UnitPlans[Achievement_Pct_Monthly],MATCH("FCSI Operations Conducted",tbl_UnitPlans[KPI_Name],0)),"—")</f>
        <v/>
      </c>
      <c r="F8" s="23">
        <f>IFERROR(INDEX(tbl_UnitPlans[TrafficLight_Monthly],MATCH("FCSI Operations Conducted",tbl_UnitPlans[KPI_Name],0)),"—")</f>
        <v/>
      </c>
    </row>
    <row r="9">
      <c r="A9" s="22" t="inlineStr">
        <is>
          <t>Firearms Seized</t>
        </is>
      </c>
      <c r="B9" s="22">
        <f>IFERROR(INDEX(tbl_UnitPlans[Target_Monthly],MATCH("Firearms Seized",tbl_UnitPlans[KPI_Name],0)),"—")</f>
        <v/>
      </c>
      <c r="C9" s="23">
        <f>IFERROR(INDEX(tbl_UnitPlans[Actual_MTD],MATCH("Firearms Seized",tbl_UnitPlans[KPI_Name],0)),"—")</f>
        <v/>
      </c>
      <c r="D9" s="23">
        <f>IFERROR(INDEX(tbl_UnitPlans[Variance_Monthly],MATCH("Firearms Seized",tbl_UnitPlans[KPI_Name],0)),"—")</f>
        <v/>
      </c>
      <c r="E9" s="24">
        <f>IFERROR(INDEX(tbl_UnitPlans[Achievement_Pct_Monthly],MATCH("Firearms Seized",tbl_UnitPlans[KPI_Name],0)),"—")</f>
        <v/>
      </c>
      <c r="F9" s="23">
        <f>IFERROR(INDEX(tbl_UnitPlans[TrafficLight_Monthly],MATCH("Firearms Seized",tbl_UnitPlans[KPI_Name],0)),"—")</f>
        <v/>
      </c>
    </row>
    <row r="10">
      <c r="A10" s="22" t="inlineStr">
        <is>
          <t>Narcotics Seized (kg)</t>
        </is>
      </c>
      <c r="B10" s="22">
        <f>IFERROR(INDEX(tbl_UnitPlans[Target_Monthly],MATCH("Narcotics Seized (kg)",tbl_UnitPlans[KPI_Name],0)),"—")</f>
        <v/>
      </c>
      <c r="C10" s="23">
        <f>IFERROR(INDEX(tbl_UnitPlans[Actual_MTD],MATCH("Narcotics Seized (kg)",tbl_UnitPlans[KPI_Name],0)),"—")</f>
        <v/>
      </c>
      <c r="D10" s="23">
        <f>IFERROR(INDEX(tbl_UnitPlans[Variance_Monthly],MATCH("Narcotics Seized (kg)",tbl_UnitPlans[KPI_Name],0)),"—")</f>
        <v/>
      </c>
      <c r="E10" s="24">
        <f>IFERROR(INDEX(tbl_UnitPlans[Achievement_Pct_Monthly],MATCH("Narcotics Seized (kg)",tbl_UnitPlans[KPI_Name],0)),"—")</f>
        <v/>
      </c>
      <c r="F10" s="23">
        <f>IFERROR(INDEX(tbl_UnitPlans[TrafficLight_Monthly],MATCH("Narcotics Seized (kg)",tbl_UnitPlans[KPI_Name],0)),"—")</f>
        <v/>
      </c>
    </row>
    <row r="11">
      <c r="A11" s="22" t="inlineStr">
        <is>
          <t>Arrests Made</t>
        </is>
      </c>
      <c r="B11" s="22">
        <f>IFERROR(INDEX(tbl_UnitPlans[Target_Monthly],MATCH("Arrests Made",tbl_UnitPlans[KPI_Name],0)),"—")</f>
        <v/>
      </c>
      <c r="C11" s="23">
        <f>IFERROR(INDEX(tbl_UnitPlans[Actual_MTD],MATCH("Arrests Made",tbl_UnitPlans[KPI_Name],0)),"—")</f>
        <v/>
      </c>
      <c r="D11" s="23">
        <f>IFERROR(INDEX(tbl_UnitPlans[Variance_Monthly],MATCH("Arrests Made",tbl_UnitPlans[KPI_Name],0)),"—")</f>
        <v/>
      </c>
      <c r="E11" s="24">
        <f>IFERROR(INDEX(tbl_UnitPlans[Achievement_Pct_Monthly],MATCH("Arrests Made",tbl_UnitPlans[KPI_Name],0)),"—")</f>
        <v/>
      </c>
      <c r="F11" s="23">
        <f>IFERROR(INDEX(tbl_UnitPlans[TrafficLight_Monthly],MATCH("Arrests Made",tbl_UnitPlans[KPI_Name],0)),"—")</f>
        <v/>
      </c>
    </row>
    <row r="12">
      <c r="A12" s="22" t="inlineStr">
        <is>
          <t>FCSI Positive Outcome Rate</t>
        </is>
      </c>
      <c r="B12" s="22">
        <f>IFERROR(INDEX(tbl_UnitPlans[Target_Monthly],MATCH("FCSI Positive Outcome Rate",tbl_UnitPlans[KPI_Name],0)),"—")</f>
        <v/>
      </c>
      <c r="C12" s="23">
        <f>IFERROR(INDEX(tbl_UnitPlans[Actual_MTD],MATCH("FCSI Positive Outcome Rate",tbl_UnitPlans[KPI_Name],0)),"—")</f>
        <v/>
      </c>
      <c r="D12" s="23">
        <f>IFERROR(INDEX(tbl_UnitPlans[Variance_Monthly],MATCH("FCSI Positive Outcome Rate",tbl_UnitPlans[KPI_Name],0)),"—")</f>
        <v/>
      </c>
      <c r="E12" s="24">
        <f>IFERROR(INDEX(tbl_UnitPlans[Achievement_Pct_Monthly],MATCH("FCSI Positive Outcome Rate",tbl_UnitPlans[KPI_Name],0)),"—")</f>
        <v/>
      </c>
      <c r="F12" s="23">
        <f>IFERROR(INDEX(tbl_UnitPlans[TrafficLight_Monthly],MATCH("FCSI Positive Outcome Rate",tbl_UnitPlans[KPI_Name],0)),"—")</f>
        <v/>
      </c>
    </row>
    <row r="13">
      <c r="A13" s="22" t="inlineStr">
        <is>
          <t>FCSI Hotspot Coverage</t>
        </is>
      </c>
      <c r="B13" s="22">
        <f>IFERROR(INDEX(tbl_UnitPlans[Target_Monthly],MATCH("FCSI Hotspot Coverage",tbl_UnitPlans[KPI_Name],0)),"—")</f>
        <v/>
      </c>
      <c r="C13" s="23">
        <f>IFERROR(INDEX(tbl_UnitPlans[Actual_MTD],MATCH("FCSI Hotspot Coverage",tbl_UnitPlans[KPI_Name],0)),"—")</f>
        <v/>
      </c>
      <c r="D13" s="23">
        <f>IFERROR(INDEX(tbl_UnitPlans[Variance_Monthly],MATCH("FCSI Hotspot Coverage",tbl_UnitPlans[KPI_Name],0)),"—")</f>
        <v/>
      </c>
      <c r="E13" s="24">
        <f>IFERROR(INDEX(tbl_UnitPlans[Achievement_Pct_Monthly],MATCH("FCSI Hotspot Coverage",tbl_UnitPlans[KPI_Name],0)),"—")</f>
        <v/>
      </c>
      <c r="F13" s="23">
        <f>IFERROR(INDEX(tbl_UnitPlans[TrafficLight_Monthly],MATCH("FCSI Hotspot Coverage",tbl_UnitPlans[KPI_Name],0)),"—")</f>
        <v/>
      </c>
    </row>
    <row r="15">
      <c r="A15" s="20" t="inlineStr">
        <is>
          <t>QUICK STATISTICS</t>
        </is>
      </c>
    </row>
    <row r="16">
      <c r="A16" s="25" t="inlineStr">
        <is>
          <t>Total Ops</t>
        </is>
      </c>
      <c r="B16" s="25" t="inlineStr">
        <is>
          <t>FCSI Ops</t>
        </is>
      </c>
      <c r="C16" s="25" t="inlineStr">
        <is>
          <t>Non-FCSI Ops</t>
        </is>
      </c>
      <c r="D16" s="25" t="inlineStr">
        <is>
          <t>Total Arrests</t>
        </is>
      </c>
      <c r="E16" s="25" t="inlineStr">
        <is>
          <t>Firearms Seized</t>
        </is>
      </c>
      <c r="F16" s="25" t="inlineStr">
        <is>
          <t>Ammo Seized</t>
        </is>
      </c>
      <c r="G16" s="25" t="inlineStr">
        <is>
          <t>Narcotics (kg)</t>
        </is>
      </c>
      <c r="H16" s="25" t="inlineStr">
        <is>
          <t>Search Warrants</t>
        </is>
      </c>
    </row>
    <row r="17">
      <c r="A17" s="26">
        <f>COUNTA(tbl_Operations[OPS_ID])-COUNTBLANK(tbl_Operations[OPS_ID])</f>
        <v/>
      </c>
      <c r="B17" s="26">
        <f>COUNTIF(tbl_Operations[FCSI_Flag],"Yes")</f>
        <v/>
      </c>
      <c r="C17" s="26">
        <f>COUNTIF(tbl_Operations[FCSI_Flag],"No")</f>
        <v/>
      </c>
      <c r="D17" s="26">
        <f>SUM(tbl_Operations[Arrests])</f>
        <v/>
      </c>
      <c r="E17" s="26">
        <f>SUM(tbl_Operations[FirearmsSeized])</f>
        <v/>
      </c>
      <c r="F17" s="26">
        <f>SUM(tbl_Operations[AmmunitionSeized])</f>
        <v/>
      </c>
      <c r="G17" s="26">
        <f>SUM(tbl_Operations[NarcoticsSeized_kg])</f>
        <v/>
      </c>
      <c r="H17" s="26">
        <f>COUNTIF(tbl_Operations[OpsType],"Search Warrant")</f>
        <v/>
      </c>
    </row>
    <row r="22">
      <c r="A22" s="27" t="inlineStr">
        <is>
          <t>DATA ENTRY: Navigate to 'tbl_Operations' to log operational activity. Mark FCSI_Flag='Yes' for all Focused Crime Suppression Initiative operations.</t>
        </is>
      </c>
    </row>
  </sheetData>
  <mergeCells count="6">
    <mergeCell ref="A1:H1"/>
    <mergeCell ref="A3:H3"/>
    <mergeCell ref="A15:H15"/>
    <mergeCell ref="A2:H2"/>
    <mergeCell ref="A5:H5"/>
    <mergeCell ref="A22:H22"/>
  </mergeCells>
  <conditionalFormatting sqref="F7:F14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BF8F00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INTELLIGENCE PORTAL</t>
        </is>
      </c>
    </row>
    <row r="2" ht="24" customHeight="1">
      <c r="A2" s="18" t="inlineStr">
        <is>
          <t>Lead Management, Triage &amp; Intelligence Briefings</t>
        </is>
      </c>
    </row>
    <row r="3" ht="18" customHeight="1">
      <c r="A3" s="19" t="inlineStr">
        <is>
          <t>Unit: Intelligence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Leads Received</t>
        </is>
      </c>
      <c r="B7" s="22">
        <f>IFERROR(INDEX(tbl_UnitPlans[Target_Monthly],MATCH("Leads Received",tbl_UnitPlans[KPI_Name],0)),"—")</f>
        <v/>
      </c>
      <c r="C7" s="23">
        <f>IFERROR(INDEX(tbl_UnitPlans[Actual_MTD],MATCH("Leads Received",tbl_UnitPlans[KPI_Name],0)),"—")</f>
        <v/>
      </c>
      <c r="D7" s="23">
        <f>IFERROR(INDEX(tbl_UnitPlans[Variance_Monthly],MATCH("Leads Received",tbl_UnitPlans[KPI_Name],0)),"—")</f>
        <v/>
      </c>
      <c r="E7" s="24">
        <f>IFERROR(INDEX(tbl_UnitPlans[Achievement_Pct_Monthly],MATCH("Leads Received",tbl_UnitPlans[KPI_Name],0)),"—")</f>
        <v/>
      </c>
      <c r="F7" s="23">
        <f>IFERROR(INDEX(tbl_UnitPlans[TrafficLight_Monthly],MATCH("Leads Received",tbl_UnitPlans[KPI_Name],0)),"—")</f>
        <v/>
      </c>
    </row>
    <row r="8">
      <c r="A8" s="22" t="inlineStr">
        <is>
          <t>Leads Triaged &lt; 24hrs</t>
        </is>
      </c>
      <c r="B8" s="22">
        <f>IFERROR(INDEX(tbl_UnitPlans[Target_Monthly],MATCH("Leads Triaged &lt; 24hrs",tbl_UnitPlans[KPI_Name],0)),"—")</f>
        <v/>
      </c>
      <c r="C8" s="23">
        <f>IFERROR(INDEX(tbl_UnitPlans[Actual_MTD],MATCH("Leads Triaged &lt; 24hrs",tbl_UnitPlans[KPI_Name],0)),"—")</f>
        <v/>
      </c>
      <c r="D8" s="23">
        <f>IFERROR(INDEX(tbl_UnitPlans[Variance_Monthly],MATCH("Leads Triaged &lt; 24hrs",tbl_UnitPlans[KPI_Name],0)),"—")</f>
        <v/>
      </c>
      <c r="E8" s="24">
        <f>IFERROR(INDEX(tbl_UnitPlans[Achievement_Pct_Monthly],MATCH("Leads Triaged &lt; 24hrs",tbl_UnitPlans[KPI_Name],0)),"—")</f>
        <v/>
      </c>
      <c r="F8" s="23">
        <f>IFERROR(INDEX(tbl_UnitPlans[TrafficLight_Monthly],MATCH("Leads Triaged &lt; 24hrs",tbl_UnitPlans[KPI_Name],0)),"—")</f>
        <v/>
      </c>
    </row>
    <row r="9">
      <c r="A9" s="22" t="inlineStr">
        <is>
          <t>Lead-to-Case Conversion Rate</t>
        </is>
      </c>
      <c r="B9" s="22">
        <f>IFERROR(INDEX(tbl_UnitPlans[Target_Monthly],MATCH("Lead-to-Case Conversion Rate",tbl_UnitPlans[KPI_Name],0)),"—")</f>
        <v/>
      </c>
      <c r="C9" s="23">
        <f>IFERROR(INDEX(tbl_UnitPlans[Actual_MTD],MATCH("Lead-to-Case Conversion Rate",tbl_UnitPlans[KPI_Name],0)),"—")</f>
        <v/>
      </c>
      <c r="D9" s="23">
        <f>IFERROR(INDEX(tbl_UnitPlans[Variance_Monthly],MATCH("Lead-to-Case Conversion Rate",tbl_UnitPlans[KPI_Name],0)),"—")</f>
        <v/>
      </c>
      <c r="E9" s="24">
        <f>IFERROR(INDEX(tbl_UnitPlans[Achievement_Pct_Monthly],MATCH("Lead-to-Case Conversion Rate",tbl_UnitPlans[KPI_Name],0)),"—")</f>
        <v/>
      </c>
      <c r="F9" s="23">
        <f>IFERROR(INDEX(tbl_UnitPlans[TrafficLight_Monthly],MATCH("Lead-to-Case Conversion Rate",tbl_UnitPlans[KPI_Name],0)),"—")</f>
        <v/>
      </c>
    </row>
    <row r="10">
      <c r="A10" s="22" t="inlineStr">
        <is>
          <t>Intel Briefings Delivered</t>
        </is>
      </c>
      <c r="B10" s="22">
        <f>IFERROR(INDEX(tbl_UnitPlans[Target_Monthly],MATCH("Intel Briefings Delivered",tbl_UnitPlans[KPI_Name],0)),"—")</f>
        <v/>
      </c>
      <c r="C10" s="23">
        <f>IFERROR(INDEX(tbl_UnitPlans[Actual_MTD],MATCH("Intel Briefings Delivered",tbl_UnitPlans[KPI_Name],0)),"—")</f>
        <v/>
      </c>
      <c r="D10" s="23">
        <f>IFERROR(INDEX(tbl_UnitPlans[Variance_Monthly],MATCH("Intel Briefings Delivered",tbl_UnitPlans[KPI_Name],0)),"—")</f>
        <v/>
      </c>
      <c r="E10" s="24">
        <f>IFERROR(INDEX(tbl_UnitPlans[Achievement_Pct_Monthly],MATCH("Intel Briefings Delivered",tbl_UnitPlans[KPI_Name],0)),"—")</f>
        <v/>
      </c>
      <c r="F10" s="23">
        <f>IFERROR(INDEX(tbl_UnitPlans[TrafficLight_Monthly],MATCH("Intel Briefings Delivered",tbl_UnitPlans[KPI_Name],0)),"—")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Leads</t>
        </is>
      </c>
      <c r="B13" s="25" t="inlineStr">
        <is>
          <t>From MCR</t>
        </is>
      </c>
      <c r="C13" s="25" t="inlineStr">
        <is>
          <t>From Ops</t>
        </is>
      </c>
      <c r="D13" s="25" t="inlineStr">
        <is>
          <t>From Tips</t>
        </is>
      </c>
      <c r="E13" s="25" t="inlineStr">
        <is>
          <t>High Priority</t>
        </is>
      </c>
      <c r="F13" s="25" t="inlineStr">
        <is>
          <t>Pending Triage</t>
        </is>
      </c>
      <c r="G13" s="25" t="inlineStr">
        <is>
          <t>Converted to Case</t>
        </is>
      </c>
      <c r="H13" s="25" t="inlineStr">
        <is>
          <t>Briefings Given</t>
        </is>
      </c>
    </row>
    <row r="14">
      <c r="A14" s="26">
        <f>COUNTA(tbl_Leads[LeadID])-COUNTBLANK(tbl_Leads[LeadID])</f>
        <v/>
      </c>
      <c r="B14" s="26">
        <f>COUNTIF(tbl_Leads[Source],"MCR")</f>
        <v/>
      </c>
      <c r="C14" s="26">
        <f>COUNTIF(tbl_Leads[Source],"Operations")</f>
        <v/>
      </c>
      <c r="D14" s="26">
        <f>COUNTIF(tbl_Leads[Source],"Tip-off")</f>
        <v/>
      </c>
      <c r="E14" s="26">
        <f>COUNTIFS(tbl_Leads[Priority],"High")+COUNTIFS(tbl_Leads[Priority],"Critical")</f>
        <v/>
      </c>
      <c r="F14" s="26">
        <f>COUNTBLANK(tbl_Leads[TriageDecision])</f>
        <v/>
      </c>
      <c r="G14" s="26">
        <f>COUNTIF(tbl_Leads[Outcome],"Converted to Case")</f>
        <v/>
      </c>
      <c r="H14" s="26">
        <f>COUNTA(tbl_IntelBriefings[BriefingID])-COUNTBLANK(tbl_IntelBriefings[BriefingID])</f>
        <v/>
      </c>
    </row>
    <row r="19">
      <c r="A19" s="27" t="inlineStr">
        <is>
          <t>DATA ENTRY: Use 'tbl_MCR_Raw' for MCR intake, 'tbl_Leads' for lead management, 'tbl_FollowUpRecs' for recommendations, 'tbl_IntelBriefings' for briefing logs.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2E75B6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TRANSPORT PORTAL</t>
        </is>
      </c>
    </row>
    <row r="2" ht="24" customHeight="1">
      <c r="A2" s="18" t="inlineStr">
        <is>
          <t>Fleet Management, Vehicle Usage &amp; Maintenance</t>
        </is>
      </c>
    </row>
    <row r="3" ht="18" customHeight="1">
      <c r="A3" s="19" t="inlineStr">
        <is>
          <t>Unit: Transport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Vehicle Availability Rate</t>
        </is>
      </c>
      <c r="B7" s="22">
        <f>IFERROR(INDEX(tbl_UnitPlans[Target_Monthly],MATCH("Vehicle Availability Rate",tbl_UnitPlans[KPI_Name],0)),"—")</f>
        <v/>
      </c>
      <c r="C7" s="23">
        <f>IFERROR(INDEX(tbl_UnitPlans[Actual_MTD],MATCH("Vehicle Availability Rate",tbl_UnitPlans[KPI_Name],0)),"—")</f>
        <v/>
      </c>
      <c r="D7" s="23">
        <f>IFERROR(INDEX(tbl_UnitPlans[Variance_Monthly],MATCH("Vehicle Availability Rate",tbl_UnitPlans[KPI_Name],0)),"—")</f>
        <v/>
      </c>
      <c r="E7" s="24">
        <f>IFERROR(INDEX(tbl_UnitPlans[Achievement_Pct_Monthly],MATCH("Vehicle Availability Rate",tbl_UnitPlans[KPI_Name],0)),"—")</f>
        <v/>
      </c>
      <c r="F7" s="23">
        <f>IFERROR(INDEX(tbl_UnitPlans[TrafficLight_Monthly],MATCH("Vehicle Availability Rate",tbl_UnitPlans[KPI_Name],0)),"—")</f>
        <v/>
      </c>
    </row>
    <row r="8">
      <c r="A8" s="22" t="inlineStr">
        <is>
          <t>Ops Support Coverage</t>
        </is>
      </c>
      <c r="B8" s="22">
        <f>IFERROR(INDEX(tbl_UnitPlans[Target_Monthly],MATCH("Ops Support Coverage",tbl_UnitPlans[KPI_Name],0)),"—")</f>
        <v/>
      </c>
      <c r="C8" s="23">
        <f>IFERROR(INDEX(tbl_UnitPlans[Actual_MTD],MATCH("Ops Support Coverage",tbl_UnitPlans[KPI_Name],0)),"—")</f>
        <v/>
      </c>
      <c r="D8" s="23">
        <f>IFERROR(INDEX(tbl_UnitPlans[Variance_Monthly],MATCH("Ops Support Coverage",tbl_UnitPlans[KPI_Name],0)),"—")</f>
        <v/>
      </c>
      <c r="E8" s="24">
        <f>IFERROR(INDEX(tbl_UnitPlans[Achievement_Pct_Monthly],MATCH("Ops Support Coverage",tbl_UnitPlans[KPI_Name],0)),"—")</f>
        <v/>
      </c>
      <c r="F8" s="23">
        <f>IFERROR(INDEX(tbl_UnitPlans[TrafficLight_Monthly],MATCH("Ops Support Coverage",tbl_UnitPlans[KPI_Name],0)),"—")</f>
        <v/>
      </c>
    </row>
    <row r="9">
      <c r="A9" s="22" t="inlineStr">
        <is>
          <t>Maintenance Compliance</t>
        </is>
      </c>
      <c r="B9" s="22">
        <f>IFERROR(INDEX(tbl_UnitPlans[Target_Monthly],MATCH("Maintenance Compliance",tbl_UnitPlans[KPI_Name],0)),"—")</f>
        <v/>
      </c>
      <c r="C9" s="23">
        <f>IFERROR(INDEX(tbl_UnitPlans[Actual_MTD],MATCH("Maintenance Compliance",tbl_UnitPlans[KPI_Name],0)),"—")</f>
        <v/>
      </c>
      <c r="D9" s="23">
        <f>IFERROR(INDEX(tbl_UnitPlans[Variance_Monthly],MATCH("Maintenance Compliance",tbl_UnitPlans[KPI_Name],0)),"—")</f>
        <v/>
      </c>
      <c r="E9" s="24">
        <f>IFERROR(INDEX(tbl_UnitPlans[Achievement_Pct_Monthly],MATCH("Maintenance Compliance",tbl_UnitPlans[KPI_Name],0)),"—")</f>
        <v/>
      </c>
      <c r="F9" s="23">
        <f>IFERROR(INDEX(tbl_UnitPlans[TrafficLight_Monthly],MATCH("Maintenance Compliance",tbl_UnitPlans[KPI_Name],0)),"—")</f>
        <v/>
      </c>
    </row>
    <row r="10">
      <c r="A10" s="22" t="inlineStr">
        <is>
          <t>Avg Downtime Days</t>
        </is>
      </c>
      <c r="B10" s="22">
        <f>IFERROR(INDEX(tbl_UnitPlans[Target_Monthly],MATCH("Avg Downtime Days",tbl_UnitPlans[KPI_Name],0)),"—")</f>
        <v/>
      </c>
      <c r="C10" s="23">
        <f>IFERROR(INDEX(tbl_UnitPlans[Actual_MTD],MATCH("Avg Downtime Days",tbl_UnitPlans[KPI_Name],0)),"—")</f>
        <v/>
      </c>
      <c r="D10" s="23">
        <f>IFERROR(INDEX(tbl_UnitPlans[Variance_Monthly],MATCH("Avg Downtime Days",tbl_UnitPlans[KPI_Name],0)),"—")</f>
        <v/>
      </c>
      <c r="E10" s="24">
        <f>IFERROR(INDEX(tbl_UnitPlans[Achievement_Pct_Monthly],MATCH("Avg Downtime Days",tbl_UnitPlans[KPI_Name],0)),"—")</f>
        <v/>
      </c>
      <c r="F10" s="23">
        <f>IFERROR(INDEX(tbl_UnitPlans[TrafficLight_Monthly],MATCH("Avg Downtime Days",tbl_UnitPlans[KPI_Name],0)),"—")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Vehicles</t>
        </is>
      </c>
      <c r="B13" s="25" t="inlineStr">
        <is>
          <t>Available</t>
        </is>
      </c>
      <c r="C13" s="25" t="inlineStr">
        <is>
          <t>In Use</t>
        </is>
      </c>
      <c r="D13" s="25" t="inlineStr">
        <is>
          <t>Under Maintenance</t>
        </is>
      </c>
      <c r="E13" s="25" t="inlineStr">
        <is>
          <t>Out of Service</t>
        </is>
      </c>
      <c r="F13" s="25" t="inlineStr">
        <is>
          <t>Service Overdue</t>
        </is>
      </c>
      <c r="G13" s="25" t="inlineStr">
        <is>
          <t>Total Fuel (L)</t>
        </is>
      </c>
      <c r="H13" s="25" t="inlineStr">
        <is>
          <t>Active Drivers</t>
        </is>
      </c>
    </row>
    <row r="14">
      <c r="A14" s="26">
        <f>COUNTA(tbl_Vehicles[VehicleID])-COUNTBLANK(tbl_Vehicles[VehicleID])</f>
        <v/>
      </c>
      <c r="B14" s="26">
        <f>COUNTIF(tbl_Vehicles[CurrentStatus],"Available")</f>
        <v/>
      </c>
      <c r="C14" s="26">
        <f>COUNTIF(tbl_Vehicles[CurrentStatus],"In Use")</f>
        <v/>
      </c>
      <c r="D14" s="26">
        <f>COUNTIF(tbl_Vehicles[CurrentStatus],"Under Maintenance")</f>
        <v/>
      </c>
      <c r="E14" s="26">
        <f>COUNTIF(tbl_Vehicles[CurrentStatus],"Out of Service")</f>
        <v/>
      </c>
      <c r="F14" s="26">
        <f>COUNTIFS(tbl_Vehicles[NextServiceDue],"&lt;"&amp;TODAY())</f>
        <v/>
      </c>
      <c r="G14" s="26">
        <f>SUM(tbl_FuelLog[Litres])</f>
        <v/>
      </c>
      <c r="H14" s="26">
        <f>COUNTIF(tbl_Drivers[Status],"Active")</f>
        <v/>
      </c>
    </row>
    <row r="19">
      <c r="A19" s="27" t="inlineStr">
        <is>
          <t>DATA ENTRY: Use 'tbl_Vehicles' for fleet register, 'tbl_VehicleUsage' for trip logs, 'tbl_FuelLog' for fuel records, 'tbl_Maintenance' for service records, 'tbl_Drivers' for driver registry.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00B050"/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DEMAND REDUCTION PORTAL</t>
        </is>
      </c>
    </row>
    <row r="2" ht="24" customHeight="1">
      <c r="A2" s="18" t="inlineStr">
        <is>
          <t>Community Outreach Lectures &amp; Activity Tracking</t>
        </is>
      </c>
    </row>
    <row r="3" ht="18" customHeight="1">
      <c r="A3" s="19" t="inlineStr">
        <is>
          <t>Unit: Demand Reduction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Lectures Delivered</t>
        </is>
      </c>
      <c r="B7" s="22">
        <f>IFERROR(INDEX(tbl_UnitPlans[Target_Monthly],MATCH("Lectures Delivered",tbl_UnitPlans[KPI_Name],0)),"—")</f>
        <v/>
      </c>
      <c r="C7" s="23">
        <f>IFERROR(INDEX(tbl_UnitPlans[Actual_MTD],MATCH("Lectures Delivered",tbl_UnitPlans[KPI_Name],0)),"—")</f>
        <v/>
      </c>
      <c r="D7" s="23">
        <f>IFERROR(INDEX(tbl_UnitPlans[Variance_Monthly],MATCH("Lectures Delivered",tbl_UnitPlans[KPI_Name],0)),"—")</f>
        <v/>
      </c>
      <c r="E7" s="24">
        <f>IFERROR(INDEX(tbl_UnitPlans[Achievement_Pct_Monthly],MATCH("Lectures Delivered",tbl_UnitPlans[KPI_Name],0)),"—")</f>
        <v/>
      </c>
      <c r="F7" s="23">
        <f>IFERROR(INDEX(tbl_UnitPlans[TrafficLight_Monthly],MATCH("Lectures Delivered",tbl_UnitPlans[KPI_Name],0)),"—")</f>
        <v/>
      </c>
    </row>
    <row r="8">
      <c r="A8" s="22" t="inlineStr">
        <is>
          <t>Total Attendance</t>
        </is>
      </c>
      <c r="B8" s="22">
        <f>IFERROR(INDEX(tbl_UnitPlans[Target_Monthly],MATCH("Total Attendance",tbl_UnitPlans[KPI_Name],0)),"—")</f>
        <v/>
      </c>
      <c r="C8" s="23">
        <f>IFERROR(INDEX(tbl_UnitPlans[Actual_MTD],MATCH("Total Attendance",tbl_UnitPlans[KPI_Name],0)),"—")</f>
        <v/>
      </c>
      <c r="D8" s="23">
        <f>IFERROR(INDEX(tbl_UnitPlans[Variance_Monthly],MATCH("Total Attendance",tbl_UnitPlans[KPI_Name],0)),"—")</f>
        <v/>
      </c>
      <c r="E8" s="24">
        <f>IFERROR(INDEX(tbl_UnitPlans[Achievement_Pct_Monthly],MATCH("Total Attendance",tbl_UnitPlans[KPI_Name],0)),"—")</f>
        <v/>
      </c>
      <c r="F8" s="23">
        <f>IFERROR(INDEX(tbl_UnitPlans[TrafficLight_Monthly],MATCH("Total Attendance",tbl_UnitPlans[KPI_Name],0)),"—")</f>
        <v/>
      </c>
    </row>
    <row r="9">
      <c r="A9" s="22" t="inlineStr">
        <is>
          <t>Communities Reached</t>
        </is>
      </c>
      <c r="B9" s="22">
        <f>IFERROR(INDEX(tbl_UnitPlans[Target_Monthly],MATCH("Communities Reached",tbl_UnitPlans[KPI_Name],0)),"—")</f>
        <v/>
      </c>
      <c r="C9" s="23">
        <f>IFERROR(INDEX(tbl_UnitPlans[Actual_MTD],MATCH("Communities Reached",tbl_UnitPlans[KPI_Name],0)),"—")</f>
        <v/>
      </c>
      <c r="D9" s="23">
        <f>IFERROR(INDEX(tbl_UnitPlans[Variance_Monthly],MATCH("Communities Reached",tbl_UnitPlans[KPI_Name],0)),"—")</f>
        <v/>
      </c>
      <c r="E9" s="24">
        <f>IFERROR(INDEX(tbl_UnitPlans[Achievement_Pct_Monthly],MATCH("Communities Reached",tbl_UnitPlans[KPI_Name],0)),"—")</f>
        <v/>
      </c>
      <c r="F9" s="23">
        <f>IFERROR(INDEX(tbl_UnitPlans[TrafficLight_Monthly],MATCH("Communities Reached",tbl_UnitPlans[KPI_Name],0)),"—")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Sessions Held</t>
        </is>
      </c>
      <c r="B12" s="25" t="inlineStr">
        <is>
          <t>Total Attendance</t>
        </is>
      </c>
      <c r="C12" s="25" t="inlineStr">
        <is>
          <t>Avg Attendance</t>
        </is>
      </c>
      <c r="D12" s="25" t="inlineStr">
        <is>
          <t>Total Hours</t>
        </is>
      </c>
      <c r="E12" s="25" t="inlineStr">
        <is>
          <t>With Follow-Up</t>
        </is>
      </c>
      <c r="F12" s="25" t="inlineStr">
        <is>
          <t>Parishes Covered</t>
        </is>
      </c>
    </row>
    <row r="13">
      <c r="A13" s="26">
        <f>COUNTA(tbl_DemandReduction[LectureID])-COUNTBLANK(tbl_DemandReduction[LectureID])</f>
        <v/>
      </c>
      <c r="B13" s="26">
        <f>SUM(tbl_DemandReduction[Attendance])</f>
        <v/>
      </c>
      <c r="C13" s="26">
        <f>IFERROR(AVERAGE(tbl_DemandReduction[Attendance]),"—")</f>
        <v/>
      </c>
      <c r="D13" s="26">
        <f>SUM(tbl_DemandReduction[Duration_Hrs])</f>
        <v/>
      </c>
      <c r="E13" s="26">
        <f>COUNTIF(tbl_DemandReduction[FollowUpPlanned],"Yes")</f>
        <v/>
      </c>
      <c r="F13" s="26">
        <f>IFERROR(SUMPRODUCT(1/COUNTIF(tbl_DemandReduction[Parish],tbl_DemandReduction[Parish])),"—")</f>
        <v/>
      </c>
    </row>
    <row r="15">
      <c r="A15" s="27" t="inlineStr">
        <is>
          <t>DATA ENTRY: Navigate to 'tbl_DemandReduction' to log outreach sessions, attendance, topics, and outcomes.</t>
        </is>
      </c>
    </row>
  </sheetData>
  <mergeCells count="6">
    <mergeCell ref="A1:H1"/>
    <mergeCell ref="A3:H3"/>
    <mergeCell ref="A15:H15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7030A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ADMIN / HRM PORTAL</t>
        </is>
      </c>
    </row>
    <row r="2" ht="24" customHeight="1">
      <c r="A2" s="18" t="inlineStr">
        <is>
          <t>Personnel, Administration &amp; Human Resource Management</t>
        </is>
      </c>
    </row>
    <row r="3" ht="18" customHeight="1">
      <c r="A3" s="19" t="inlineStr">
        <is>
          <t>Unit: Admin/HRM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Personnel Strength</t>
        </is>
      </c>
      <c r="B7" s="22">
        <f>IFERROR(INDEX(tbl_UnitPlans[Target_Monthly],MATCH("Personnel Strength",tbl_UnitPlans[KPI_Name],0)),"—")</f>
        <v/>
      </c>
      <c r="C7" s="23">
        <f>IFERROR(INDEX(tbl_UnitPlans[Actual_MTD],MATCH("Personnel Strength",tbl_UnitPlans[KPI_Name],0)),"—")</f>
        <v/>
      </c>
      <c r="D7" s="23">
        <f>IFERROR(INDEX(tbl_UnitPlans[Variance_Monthly],MATCH("Personnel Strength",tbl_UnitPlans[KPI_Name],0)),"—")</f>
        <v/>
      </c>
      <c r="E7" s="24">
        <f>IFERROR(INDEX(tbl_UnitPlans[Achievement_Pct_Monthly],MATCH("Personnel Strength",tbl_UnitPlans[KPI_Name],0)),"—")</f>
        <v/>
      </c>
      <c r="F7" s="23">
        <f>IFERROR(INDEX(tbl_UnitPlans[TrafficLight_Monthly],MATCH("Personnel Strength",tbl_UnitPlans[KPI_Name],0)),"—")</f>
        <v/>
      </c>
    </row>
    <row r="8">
      <c r="A8" s="22" t="inlineStr">
        <is>
          <t>Vacancy Rate</t>
        </is>
      </c>
      <c r="B8" s="22">
        <f>IFERROR(INDEX(tbl_UnitPlans[Target_Monthly],MATCH("Vacancy Rate",tbl_UnitPlans[KPI_Name],0)),"—")</f>
        <v/>
      </c>
      <c r="C8" s="23">
        <f>IFERROR(INDEX(tbl_UnitPlans[Actual_MTD],MATCH("Vacancy Rate",tbl_UnitPlans[KPI_Name],0)),"—")</f>
        <v/>
      </c>
      <c r="D8" s="23">
        <f>IFERROR(INDEX(tbl_UnitPlans[Variance_Monthly],MATCH("Vacancy Rate",tbl_UnitPlans[KPI_Name],0)),"—")</f>
        <v/>
      </c>
      <c r="E8" s="24">
        <f>IFERROR(INDEX(tbl_UnitPlans[Achievement_Pct_Monthly],MATCH("Vacancy Rate",tbl_UnitPlans[KPI_Name],0)),"—")</f>
        <v/>
      </c>
      <c r="F8" s="23">
        <f>IFERROR(INDEX(tbl_UnitPlans[TrafficLight_Monthly],MATCH("Vacancy Rate",tbl_UnitPlans[KPI_Name],0)),"—")</f>
        <v/>
      </c>
    </row>
    <row r="10">
      <c r="A10" s="20" t="inlineStr">
        <is>
          <t>ADMINISTRATIVE SUMMARY</t>
        </is>
      </c>
    </row>
    <row r="11">
      <c r="A11" s="28" t="inlineStr">
        <is>
          <t>Current Establishment Strength:</t>
        </is>
      </c>
      <c r="B11" s="29" t="n"/>
    </row>
    <row r="12">
      <c r="A12" s="28" t="inlineStr">
        <is>
          <t>Actual Strength:</t>
        </is>
      </c>
      <c r="B12" s="29" t="n"/>
    </row>
    <row r="13">
      <c r="A13" s="28" t="inlineStr">
        <is>
          <t>Vacancies:</t>
        </is>
      </c>
      <c r="B13" s="29" t="n"/>
    </row>
    <row r="14">
      <c r="A14" s="28" t="inlineStr">
        <is>
          <t>On Leave:</t>
        </is>
      </c>
      <c r="B14" s="29" t="n"/>
    </row>
    <row r="15">
      <c r="A15" s="28" t="inlineStr">
        <is>
          <t>Seconded Out:</t>
        </is>
      </c>
      <c r="B15" s="29" t="n"/>
    </row>
    <row r="16">
      <c r="A16" s="28" t="inlineStr">
        <is>
          <t>Seconded In:</t>
        </is>
      </c>
      <c r="B16" s="29" t="n"/>
    </row>
    <row r="17">
      <c r="A17" s="28" t="inlineStr">
        <is>
          <t>Pending Transfers:</t>
        </is>
      </c>
      <c r="B17" s="29" t="n"/>
    </row>
    <row r="18">
      <c r="A18" s="28" t="inlineStr">
        <is>
          <t>Disciplinary Matters:</t>
        </is>
      </c>
      <c r="B18" s="29" t="n"/>
    </row>
    <row r="20">
      <c r="A20" s="27" t="inlineStr">
        <is>
          <t>DATA ENTRY: Admin/HRM data is primarily manual entry. Update targets and actuals in 'tbl_UnitPlans' for Admin/HRM unit.</t>
        </is>
      </c>
    </row>
  </sheetData>
  <mergeCells count="6">
    <mergeCell ref="A1:H1"/>
    <mergeCell ref="A3:H3"/>
    <mergeCell ref="A20:H20"/>
    <mergeCell ref="A2:H2"/>
    <mergeCell ref="A10:H10"/>
    <mergeCell ref="A5:H5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548235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TRAINING PORTAL</t>
        </is>
      </c>
    </row>
    <row r="2" ht="24" customHeight="1">
      <c r="A2" s="18" t="inlineStr">
        <is>
          <t>Capacity Building, In-Service Training &amp; Certifications</t>
        </is>
      </c>
    </row>
    <row r="3" ht="18" customHeight="1">
      <c r="A3" s="19" t="inlineStr">
        <is>
          <t>Unit: Training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Training Sessions Conducted</t>
        </is>
      </c>
      <c r="B7" s="22">
        <f>IFERROR(INDEX(tbl_UnitPlans[Target_Monthly],MATCH("Training Sessions Conducted",tbl_UnitPlans[KPI_Name],0)),"—")</f>
        <v/>
      </c>
      <c r="C7" s="23">
        <f>IFERROR(INDEX(tbl_UnitPlans[Actual_MTD],MATCH("Training Sessions Conducted",tbl_UnitPlans[KPI_Name],0)),"—")</f>
        <v/>
      </c>
      <c r="D7" s="23">
        <f>IFERROR(INDEX(tbl_UnitPlans[Variance_Monthly],MATCH("Training Sessions Conducted",tbl_UnitPlans[KPI_Name],0)),"—")</f>
        <v/>
      </c>
      <c r="E7" s="24">
        <f>IFERROR(INDEX(tbl_UnitPlans[Achievement_Pct_Monthly],MATCH("Training Sessions Conducted",tbl_UnitPlans[KPI_Name],0)),"—")</f>
        <v/>
      </c>
      <c r="F7" s="23">
        <f>IFERROR(INDEX(tbl_UnitPlans[TrafficLight_Monthly],MATCH("Training Sessions Conducted",tbl_UnitPlans[KPI_Name],0)),"—")</f>
        <v/>
      </c>
    </row>
    <row r="8">
      <c r="A8" s="22" t="inlineStr">
        <is>
          <t>Personnel Trained</t>
        </is>
      </c>
      <c r="B8" s="22">
        <f>IFERROR(INDEX(tbl_UnitPlans[Target_Monthly],MATCH("Personnel Trained",tbl_UnitPlans[KPI_Name],0)),"—")</f>
        <v/>
      </c>
      <c r="C8" s="23">
        <f>IFERROR(INDEX(tbl_UnitPlans[Actual_MTD],MATCH("Personnel Trained",tbl_UnitPlans[KPI_Name],0)),"—")</f>
        <v/>
      </c>
      <c r="D8" s="23">
        <f>IFERROR(INDEX(tbl_UnitPlans[Variance_Monthly],MATCH("Personnel Trained",tbl_UnitPlans[KPI_Name],0)),"—")</f>
        <v/>
      </c>
      <c r="E8" s="24">
        <f>IFERROR(INDEX(tbl_UnitPlans[Achievement_Pct_Monthly],MATCH("Personnel Trained",tbl_UnitPlans[KPI_Name],0)),"—")</f>
        <v/>
      </c>
      <c r="F8" s="23">
        <f>IFERROR(INDEX(tbl_UnitPlans[TrafficLight_Monthly],MATCH("Personnel Trained",tbl_UnitPlans[KPI_Name],0)),"—")</f>
        <v/>
      </c>
    </row>
    <row r="10">
      <c r="A10" s="20" t="inlineStr">
        <is>
          <t>TRAINING LOG</t>
        </is>
      </c>
    </row>
    <row r="11">
      <c r="A11" s="21" t="inlineStr">
        <is>
          <t>Date</t>
        </is>
      </c>
      <c r="B11" s="21" t="inlineStr">
        <is>
          <t>Course/Topic</t>
        </is>
      </c>
      <c r="C11" s="21" t="inlineStr">
        <is>
          <t>Trainer</t>
        </is>
      </c>
      <c r="D11" s="21" t="inlineStr">
        <is>
          <t>Attendees</t>
        </is>
      </c>
      <c r="E11" s="21" t="inlineStr">
        <is>
          <t>Duration (hrs)</t>
        </is>
      </c>
      <c r="F11" s="21" t="inlineStr">
        <is>
          <t>Location</t>
        </is>
      </c>
      <c r="G11" s="21" t="inlineStr">
        <is>
          <t>Certificate Issued</t>
        </is>
      </c>
      <c r="H11" s="21" t="inlineStr">
        <is>
          <t>Notes</t>
        </is>
      </c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</row>
  </sheetData>
  <mergeCells count="5">
    <mergeCell ref="A1:H1"/>
    <mergeCell ref="A3:H3"/>
    <mergeCell ref="A2:H2"/>
    <mergeCell ref="A10:H10"/>
    <mergeCell ref="A5:H5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FF0000"/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OVERSIGHT PORTAL</t>
        </is>
      </c>
    </row>
    <row r="2" ht="24" customHeight="1">
      <c r="A2" s="18" t="inlineStr">
        <is>
          <t>Compliance, Non-Conformities, Governance &amp; KPI Review</t>
        </is>
      </c>
    </row>
    <row r="3" ht="18" customHeight="1">
      <c r="A3" s="19" t="inlineStr">
        <is>
          <t>Unit: Oversight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Non-Conformities Identified</t>
        </is>
      </c>
      <c r="B7" s="22">
        <f>IFERROR(INDEX(tbl_UnitPlans[Target_Monthly],MATCH("Non-Conformities Identified",tbl_UnitPlans[KPI_Name],0)),"—")</f>
        <v/>
      </c>
      <c r="C7" s="23">
        <f>IFERROR(INDEX(tbl_UnitPlans[Actual_MTD],MATCH("Non-Conformities Identified",tbl_UnitPlans[KPI_Name],0)),"—")</f>
        <v/>
      </c>
      <c r="D7" s="23">
        <f>IFERROR(INDEX(tbl_UnitPlans[Variance_Monthly],MATCH("Non-Conformities Identified",tbl_UnitPlans[KPI_Name],0)),"—")</f>
        <v/>
      </c>
      <c r="E7" s="24">
        <f>IFERROR(INDEX(tbl_UnitPlans[Achievement_Pct_Monthly],MATCH("Non-Conformities Identified",tbl_UnitPlans[KPI_Name],0)),"—")</f>
        <v/>
      </c>
      <c r="F7" s="23">
        <f>IFERROR(INDEX(tbl_UnitPlans[TrafficLight_Monthly],MATCH("Non-Conformities Identified",tbl_UnitPlans[KPI_Name],0)),"—")</f>
        <v/>
      </c>
    </row>
    <row r="8">
      <c r="A8" s="22" t="inlineStr">
        <is>
          <t>Overdue Actions</t>
        </is>
      </c>
      <c r="B8" s="22">
        <f>IFERROR(INDEX(tbl_UnitPlans[Target_Monthly],MATCH("Overdue Actions",tbl_UnitPlans[KPI_Name],0)),"—")</f>
        <v/>
      </c>
      <c r="C8" s="23">
        <f>IFERROR(INDEX(tbl_UnitPlans[Actual_MTD],MATCH("Overdue Actions",tbl_UnitPlans[KPI_Name],0)),"—")</f>
        <v/>
      </c>
      <c r="D8" s="23">
        <f>IFERROR(INDEX(tbl_UnitPlans[Variance_Monthly],MATCH("Overdue Actions",tbl_UnitPlans[KPI_Name],0)),"—")</f>
        <v/>
      </c>
      <c r="E8" s="24">
        <f>IFERROR(INDEX(tbl_UnitPlans[Achievement_Pct_Monthly],MATCH("Overdue Actions",tbl_UnitPlans[KPI_Name],0)),"—")</f>
        <v/>
      </c>
      <c r="F8" s="23">
        <f>IFERROR(INDEX(tbl_UnitPlans[TrafficLight_Monthly],MATCH("Overdue Actions",tbl_UnitPlans[KPI_Name],0)),"—")</f>
        <v/>
      </c>
    </row>
    <row r="9">
      <c r="A9" s="22" t="inlineStr">
        <is>
          <t>KPIs Off Track</t>
        </is>
      </c>
      <c r="B9" s="22">
        <f>IFERROR(INDEX(tbl_UnitPlans[Target_Monthly],MATCH("KPIs Off Track",tbl_UnitPlans[KPI_Name],0)),"—")</f>
        <v/>
      </c>
      <c r="C9" s="23">
        <f>IFERROR(INDEX(tbl_UnitPlans[Actual_MTD],MATCH("KPIs Off Track",tbl_UnitPlans[KPI_Name],0)),"—")</f>
        <v/>
      </c>
      <c r="D9" s="23">
        <f>IFERROR(INDEX(tbl_UnitPlans[Variance_Monthly],MATCH("KPIs Off Track",tbl_UnitPlans[KPI_Name],0)),"—")</f>
        <v/>
      </c>
      <c r="E9" s="24">
        <f>IFERROR(INDEX(tbl_UnitPlans[Achievement_Pct_Monthly],MATCH("KPIs Off Track",tbl_UnitPlans[KPI_Name],0)),"—")</f>
        <v/>
      </c>
      <c r="F9" s="23">
        <f>IFERROR(INDEX(tbl_UnitPlans[TrafficLight_Monthly],MATCH("KPIs Off Track",tbl_UnitPlans[KPI_Name],0)),"—")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Non-Compliant Cases</t>
        </is>
      </c>
      <c r="C12" s="25" t="inlineStr">
        <is>
          <t>Overdue Actions</t>
        </is>
      </c>
      <c r="D12" s="25" t="inlineStr">
        <is>
          <t>Overdue Reviews</t>
        </is>
      </c>
      <c r="E12" s="25" t="inlineStr">
        <is>
          <t>Overdue Forensics</t>
        </is>
      </c>
      <c r="F12" s="25" t="inlineStr">
        <is>
          <t>Service Overdue Vehicles</t>
        </is>
      </c>
      <c r="G12" s="25" t="inlineStr">
        <is>
          <t>KPIs Off Track</t>
        </is>
      </c>
      <c r="H12" s="25" t="inlineStr">
        <is>
          <t>KPIs At Risk</t>
        </is>
      </c>
    </row>
    <row r="13">
      <c r="A13" s="26">
        <f>COUNTA(tbl_Cases[CaseID])-COUNTBLANK(tbl_Cases[CaseID])</f>
        <v/>
      </c>
      <c r="B13" s="26">
        <f>COUNTIF(tbl_Cases[ComplianceFlag],"Non-Compliant")</f>
        <v/>
      </c>
      <c r="C13" s="26">
        <f>COUNTIFS(tbl_Actions[DueDate],"&lt;"&amp;TODAY(),tbl_Actions[CompletedDate],"")</f>
        <v/>
      </c>
      <c r="D13" s="26">
        <f>COUNTIFS(tbl_Reviews[DueDate],"&lt;"&amp;TODAY(),tbl_Reviews[Status],"&lt;&gt;Completed")</f>
        <v/>
      </c>
      <c r="E13" s="26">
        <f>COUNTIFS(tbl_Exhibits[ExpectedReturn],"&lt;"&amp;TODAY(),tbl_Exhibits[ActualReturnDate],"")</f>
        <v/>
      </c>
      <c r="F13" s="26">
        <f>COUNTIFS(tbl_Vehicles[NextServiceDue],"&lt;"&amp;TODAY())</f>
        <v/>
      </c>
      <c r="G13" s="26">
        <f>COUNTIF(tbl_UnitPlans[TrafficLight_Monthly],"Off Track")</f>
        <v/>
      </c>
      <c r="H13" s="26">
        <f>COUNTIF(tbl_UnitPlans[TrafficLight_Monthly],"At Risk")</f>
        <v/>
      </c>
    </row>
    <row r="18">
      <c r="A18" s="20" t="inlineStr">
        <is>
          <t>NON-CONFORMITY LOG</t>
        </is>
      </c>
    </row>
    <row r="19">
      <c r="A19" s="21" t="inlineStr">
        <is>
          <t>NC_ID</t>
        </is>
      </c>
      <c r="B19" s="21" t="inlineStr">
        <is>
          <t>Date</t>
        </is>
      </c>
      <c r="C19" s="21" t="inlineStr">
        <is>
          <t>Unit</t>
        </is>
      </c>
      <c r="D19" s="21" t="inlineStr">
        <is>
          <t>Description</t>
        </is>
      </c>
      <c r="E19" s="21" t="inlineStr">
        <is>
          <t>Severity</t>
        </is>
      </c>
      <c r="F19" s="21" t="inlineStr">
        <is>
          <t>Corrective Action</t>
        </is>
      </c>
      <c r="G19" s="21" t="inlineStr">
        <is>
          <t>Due Date</t>
        </is>
      </c>
      <c r="H19" s="21" t="inlineStr">
        <is>
          <t>Status</t>
        </is>
      </c>
    </row>
    <row r="20">
      <c r="A20" s="14">
        <f>IF(B20="","","NC-"&amp;TEXT(ROW()-19,"0000"))</f>
        <v/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4">
        <f>IF(B21="","","NC-"&amp;TEXT(ROW()-19,"0000"))</f>
        <v/>
      </c>
      <c r="B21" s="14" t="n"/>
      <c r="C21" s="14" t="n"/>
      <c r="D21" s="14" t="n"/>
      <c r="E21" s="14" t="n"/>
      <c r="F21" s="14" t="n"/>
      <c r="G21" s="14" t="n"/>
      <c r="H21" s="14" t="n"/>
    </row>
    <row r="22">
      <c r="A22" s="14">
        <f>IF(B22="","","NC-"&amp;TEXT(ROW()-19,"0000"))</f>
        <v/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14">
        <f>IF(B23="","","NC-"&amp;TEXT(ROW()-19,"0000"))</f>
        <v/>
      </c>
      <c r="B23" s="14" t="n"/>
      <c r="C23" s="14" t="n"/>
      <c r="D23" s="14" t="n"/>
      <c r="E23" s="14" t="n"/>
      <c r="F23" s="14" t="n"/>
      <c r="G23" s="14" t="n"/>
      <c r="H23" s="14" t="n"/>
    </row>
    <row r="24">
      <c r="A24" s="14">
        <f>IF(B24="","","NC-"&amp;TEXT(ROW()-19,"0000"))</f>
        <v/>
      </c>
      <c r="B24" s="14" t="n"/>
      <c r="C24" s="14" t="n"/>
      <c r="D24" s="14" t="n"/>
      <c r="E24" s="14" t="n"/>
      <c r="F24" s="14" t="n"/>
      <c r="G24" s="14" t="n"/>
      <c r="H24" s="14" t="n"/>
    </row>
    <row r="25">
      <c r="A25" s="14">
        <f>IF(B25="","","NC-"&amp;TEXT(ROW()-19,"0000"))</f>
        <v/>
      </c>
      <c r="B25" s="14" t="n"/>
      <c r="C25" s="14" t="n"/>
      <c r="D25" s="14" t="n"/>
      <c r="E25" s="14" t="n"/>
      <c r="F25" s="14" t="n"/>
      <c r="G25" s="14" t="n"/>
      <c r="H25" s="14" t="n"/>
    </row>
    <row r="26">
      <c r="A26" s="14">
        <f>IF(B26="","","NC-"&amp;TEXT(ROW()-19,"0000"))</f>
        <v/>
      </c>
      <c r="B26" s="14" t="n"/>
      <c r="C26" s="14" t="n"/>
      <c r="D26" s="14" t="n"/>
      <c r="E26" s="14" t="n"/>
      <c r="F26" s="14" t="n"/>
      <c r="G26" s="14" t="n"/>
      <c r="H26" s="14" t="n"/>
    </row>
    <row r="27">
      <c r="A27" s="14">
        <f>IF(B27="","","NC-"&amp;TEXT(ROW()-19,"0000"))</f>
        <v/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14">
        <f>IF(B28="","","NC-"&amp;TEXT(ROW()-19,"0000"))</f>
        <v/>
      </c>
      <c r="B28" s="14" t="n"/>
      <c r="C28" s="14" t="n"/>
      <c r="D28" s="14" t="n"/>
      <c r="E28" s="14" t="n"/>
      <c r="F28" s="14" t="n"/>
      <c r="G28" s="14" t="n"/>
      <c r="H28" s="14" t="n"/>
    </row>
    <row r="29">
      <c r="A29" s="14">
        <f>IF(B29="","","NC-"&amp;TEXT(ROW()-19,"0000"))</f>
        <v/>
      </c>
      <c r="B29" s="14" t="n"/>
      <c r="C29" s="14" t="n"/>
      <c r="D29" s="14" t="n"/>
      <c r="E29" s="14" t="n"/>
      <c r="F29" s="14" t="n"/>
      <c r="G29" s="14" t="n"/>
      <c r="H29" s="14" t="n"/>
    </row>
    <row r="30">
      <c r="A30" s="14">
        <f>IF(B30="","","NC-"&amp;TEXT(ROW()-19,"0000"))</f>
        <v/>
      </c>
      <c r="B30" s="14" t="n"/>
      <c r="C30" s="14" t="n"/>
      <c r="D30" s="14" t="n"/>
      <c r="E30" s="14" t="n"/>
      <c r="F30" s="14" t="n"/>
      <c r="G30" s="14" t="n"/>
      <c r="H30" s="14" t="n"/>
    </row>
    <row r="31">
      <c r="A31" s="14">
        <f>IF(B31="","","NC-"&amp;TEXT(ROW()-19,"0000"))</f>
        <v/>
      </c>
      <c r="B31" s="14" t="n"/>
      <c r="C31" s="14" t="n"/>
      <c r="D31" s="14" t="n"/>
      <c r="E31" s="14" t="n"/>
      <c r="F31" s="14" t="n"/>
      <c r="G31" s="14" t="n"/>
      <c r="H31" s="14" t="n"/>
    </row>
    <row r="32">
      <c r="A32" s="14">
        <f>IF(B32="","","NC-"&amp;TEXT(ROW()-19,"0000"))</f>
        <v/>
      </c>
      <c r="B32" s="14" t="n"/>
      <c r="C32" s="14" t="n"/>
      <c r="D32" s="14" t="n"/>
      <c r="E32" s="14" t="n"/>
      <c r="F32" s="14" t="n"/>
      <c r="G32" s="14" t="n"/>
      <c r="H32" s="14" t="n"/>
    </row>
    <row r="33">
      <c r="A33" s="14">
        <f>IF(B33="","","NC-"&amp;TEXT(ROW()-19,"0000"))</f>
        <v/>
      </c>
      <c r="B33" s="14" t="n"/>
      <c r="C33" s="14" t="n"/>
      <c r="D33" s="14" t="n"/>
      <c r="E33" s="14" t="n"/>
      <c r="F33" s="14" t="n"/>
      <c r="G33" s="14" t="n"/>
      <c r="H33" s="14" t="n"/>
    </row>
    <row r="34">
      <c r="A34" s="14">
        <f>IF(B34="","","NC-"&amp;TEXT(ROW()-19,"0000"))</f>
        <v/>
      </c>
      <c r="B34" s="14" t="n"/>
      <c r="C34" s="14" t="n"/>
      <c r="D34" s="14" t="n"/>
      <c r="E34" s="14" t="n"/>
      <c r="F34" s="14" t="n"/>
      <c r="G34" s="14" t="n"/>
      <c r="H34" s="14" t="n"/>
    </row>
  </sheetData>
  <mergeCells count="6">
    <mergeCell ref="A1:H1"/>
    <mergeCell ref="A18:H18"/>
    <mergeCell ref="A3:H3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1F3864"/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 ht="48" customHeight="1">
      <c r="A1" s="30" t="inlineStr">
        <is>
          <t>FNID AREA 3 — EXECUTIVE DASHBOARD</t>
        </is>
      </c>
    </row>
    <row r="2" ht="28" customHeight="1">
      <c r="A2" s="31" t="inlineStr">
        <is>
          <t>Integrated Operational Picture  |  Intelligence → Cases → Operations → Evidence → Performance</t>
        </is>
      </c>
    </row>
    <row r="4">
      <c r="A4" s="20" t="inlineStr">
        <is>
          <t>OPERATIONAL OVERVIEW</t>
        </is>
      </c>
    </row>
    <row r="5">
      <c r="A5" s="32" t="inlineStr">
        <is>
          <t>Total Cases</t>
        </is>
      </c>
      <c r="B5" s="32" t="inlineStr">
        <is>
          <t>Active Cases</t>
        </is>
      </c>
      <c r="C5" s="32" t="inlineStr">
        <is>
          <t>Cases Closed</t>
        </is>
      </c>
      <c r="D5" s="32" t="inlineStr">
        <is>
          <t>Total Leads</t>
        </is>
      </c>
      <c r="E5" s="32" t="inlineStr">
        <is>
          <t>Leads Converted</t>
        </is>
      </c>
      <c r="F5" s="32" t="inlineStr">
        <is>
          <t>Total Ops</t>
        </is>
      </c>
      <c r="G5" s="32" t="inlineStr">
        <is>
          <t>FCSI Ops</t>
        </is>
      </c>
      <c r="H5" s="32" t="inlineStr">
        <is>
          <t>Firearms Seized</t>
        </is>
      </c>
      <c r="I5" s="32" t="inlineStr">
        <is>
          <t>Ammo Seized</t>
        </is>
      </c>
      <c r="J5" s="32" t="inlineStr">
        <is>
          <t>Narcotics (kg)</t>
        </is>
      </c>
      <c r="K5" s="32" t="inlineStr">
        <is>
          <t>Arrests</t>
        </is>
      </c>
      <c r="L5" s="32" t="inlineStr">
        <is>
          <t>Total Exhibits</t>
        </is>
      </c>
    </row>
    <row r="6">
      <c r="A6" s="33">
        <f>COUNTA(tbl_Cases[CaseID])-COUNTBLANK(tbl_Cases[CaseID])</f>
        <v/>
      </c>
      <c r="B6" s="33">
        <f>COUNTIF(tbl_Cases[CaseStatus],"Active")+COUNTIF(tbl_Cases[CaseStatus],"Under Investigation")</f>
        <v/>
      </c>
      <c r="C6" s="33">
        <f>COUNTIFS(tbl_Cases[CaseStatus],"Closed*")</f>
        <v/>
      </c>
      <c r="D6" s="33">
        <f>COUNTA(tbl_Leads[LeadID])-COUNTBLANK(tbl_Leads[LeadID])</f>
        <v/>
      </c>
      <c r="E6" s="33">
        <f>COUNTIF(tbl_Leads[Outcome],"Converted to Case")+COUNTIF(tbl_Leads[Outcome],"Converted to Op")</f>
        <v/>
      </c>
      <c r="F6" s="33">
        <f>COUNTA(tbl_Operations[OPS_ID])-COUNTBLANK(tbl_Operations[OPS_ID])</f>
        <v/>
      </c>
      <c r="G6" s="33">
        <f>COUNTIF(tbl_Operations[FCSI_Flag],"Yes")</f>
        <v/>
      </c>
      <c r="H6" s="33">
        <f>SUM(tbl_Operations[FirearmsSeized])</f>
        <v/>
      </c>
      <c r="I6" s="33">
        <f>SUM(tbl_Operations[AmmunitionSeized])</f>
        <v/>
      </c>
      <c r="J6" s="33">
        <f>SUM(tbl_Operations[NarcoticsSeized_kg])</f>
        <v/>
      </c>
      <c r="K6" s="33">
        <f>SUM(tbl_Operations[Arrests])</f>
        <v/>
      </c>
      <c r="L6" s="33">
        <f>COUNTA(tbl_Exhibits[ExhibitID])-COUNTBLANK(tbl_Exhibits[ExhibitID])</f>
        <v/>
      </c>
    </row>
    <row r="8">
      <c r="A8" s="20" t="inlineStr">
        <is>
          <t>INTELLIGENCE PIPELINE</t>
        </is>
      </c>
    </row>
    <row r="9">
      <c r="A9" s="34" t="inlineStr">
        <is>
          <t>MCR Entries</t>
        </is>
      </c>
      <c r="B9" s="34" t="inlineStr">
        <is>
          <t>FNID-Relevant MCRs</t>
        </is>
      </c>
      <c r="C9" s="34" t="inlineStr">
        <is>
          <t>MCR→Lead Rate</t>
        </is>
      </c>
      <c r="D9" s="34" t="inlineStr">
        <is>
          <t>Leads Pending Triage</t>
        </is>
      </c>
      <c r="E9" s="34" t="inlineStr">
        <is>
          <t>High/Crit Leads</t>
        </is>
      </c>
      <c r="F9" s="34" t="inlineStr">
        <is>
          <t>Lead→Case Conv %</t>
        </is>
      </c>
      <c r="G9" s="34" t="inlineStr">
        <is>
          <t>Intel Briefings</t>
        </is>
      </c>
      <c r="H9" s="34" t="inlineStr">
        <is>
          <t>Follow-Up Overdue</t>
        </is>
      </c>
    </row>
    <row r="10">
      <c r="A10" s="26">
        <f>COUNTA(tbl_MCR_Raw[MCR_ID])-COUNTBLANK(tbl_MCR_Raw[MCR_ID])</f>
        <v/>
      </c>
      <c r="B10" s="26">
        <f>COUNTIF(tbl_MCR_Raw[FNID_Relevant],"Yes")</f>
        <v/>
      </c>
      <c r="C10" s="26">
        <f>IFERROR(COUNTIFS(tbl_MCR_Raw[LinkedLeadID],"&lt;&gt;")/COUNTIF(tbl_MCR_Raw[FNID_Relevant],"Yes"),"—")</f>
        <v/>
      </c>
      <c r="D10" s="26">
        <f>COUNTBLANK(tbl_Leads[TriageDecision])</f>
        <v/>
      </c>
      <c r="E10" s="26">
        <f>COUNTIFS(tbl_Leads[Priority],"High")+COUNTIFS(tbl_Leads[Priority],"Critical")</f>
        <v/>
      </c>
      <c r="F10" s="26">
        <f>IFERROR(COUNTIF(tbl_Leads[Outcome],"Converted to Case")/(COUNTA(tbl_Leads[LeadID])-COUNTBLANK(tbl_Leads[LeadID])),"—")</f>
        <v/>
      </c>
      <c r="G10" s="26">
        <f>COUNTA(tbl_IntelBriefings[BriefingID])-COUNTBLANK(tbl_IntelBriefings[BriefingID])</f>
        <v/>
      </c>
      <c r="H10" s="26">
        <f>COUNTIFS(tbl_Leads[FollowUpDueDate],"&lt;"&amp;TODAY(),tbl_Leads[FollowUpRequired],"Yes")</f>
        <v/>
      </c>
    </row>
    <row r="12">
      <c r="A12" s="35" t="inlineStr">
        <is>
          <t>FOCUSED CRIME SUPPRESSION INITIATIVE (FCSI)</t>
        </is>
      </c>
    </row>
    <row r="13">
      <c r="A13" s="36" t="inlineStr">
        <is>
          <t>FCSI Ops Conducted</t>
        </is>
      </c>
      <c r="B13" s="36" t="inlineStr">
        <is>
          <t>Non-FCSI Ops</t>
        </is>
      </c>
      <c r="C13" s="36" t="inlineStr">
        <is>
          <t>FCSI Arrests</t>
        </is>
      </c>
      <c r="D13" s="36" t="inlineStr">
        <is>
          <t>FCSI Firearms Seized</t>
        </is>
      </c>
      <c r="E13" s="36" t="inlineStr">
        <is>
          <t>FCSI Narcotics (kg)</t>
        </is>
      </c>
      <c r="F13" s="36" t="inlineStr">
        <is>
          <t>FCSI Positive Outcome %</t>
        </is>
      </c>
    </row>
    <row r="14">
      <c r="A14" s="26">
        <f>COUNTIF(tbl_Operations[FCSI_Flag],"Yes")</f>
        <v/>
      </c>
      <c r="B14" s="26">
        <f>COUNTIF(tbl_Operations[FCSI_Flag],"No")</f>
        <v/>
      </c>
      <c r="C14" s="26">
        <f>SUMIFS(tbl_Operations[Arrests],tbl_Operations[FCSI_Flag],"Yes")</f>
        <v/>
      </c>
      <c r="D14" s="26">
        <f>SUMIFS(tbl_Operations[FirearmsSeized],tbl_Operations[FCSI_Flag],"Yes")</f>
        <v/>
      </c>
      <c r="E14" s="26">
        <f>SUMIFS(tbl_Operations[NarcoticsSeized_kg],tbl_Operations[FCSI_Flag],"Yes")</f>
        <v/>
      </c>
      <c r="F14" s="26">
        <f>IFERROR(COUNTIFS(tbl_Operations[FCSI_Flag],"Yes",tbl_Operations[Arrests],"&gt;"&amp;0)/COUNTIF(tbl_Operations[FCSI_Flag],"Yes"),"—")</f>
        <v/>
      </c>
    </row>
    <row r="16">
      <c r="A16" s="20" t="inlineStr">
        <is>
          <t>EVIDENCE &amp; FORENSIC STATUS</t>
        </is>
      </c>
    </row>
    <row r="17">
      <c r="A17" s="37" t="inlineStr">
        <is>
          <t>Total Exhibits</t>
        </is>
      </c>
      <c r="B17" s="37" t="inlineStr">
        <is>
          <t>Pending Analysis</t>
        </is>
      </c>
      <c r="C17" s="37" t="inlineStr">
        <is>
          <t>Submitted</t>
        </is>
      </c>
      <c r="D17" s="37" t="inlineStr">
        <is>
          <t>In Progress</t>
        </is>
      </c>
      <c r="E17" s="37" t="inlineStr">
        <is>
          <t>Completed</t>
        </is>
      </c>
      <c r="F17" s="37" t="inlineStr">
        <is>
          <t>Court Ready</t>
        </is>
      </c>
      <c r="G17" s="37" t="inlineStr">
        <is>
          <t>Not Court Ready</t>
        </is>
      </c>
      <c r="H17" s="37" t="inlineStr">
        <is>
          <t>Overdue Returns</t>
        </is>
      </c>
    </row>
    <row r="18">
      <c r="A18" s="26">
        <f>COUNTA(tbl_Exhibits[ExhibitID])-COUNTBLANK(tbl_Exhibits[ExhibitID])</f>
        <v/>
      </c>
      <c r="B18" s="26">
        <f>COUNTIF(tbl_Exhibits[AnalysisStatus],"Pending")</f>
        <v/>
      </c>
      <c r="C18" s="26">
        <f>COUNTIF(tbl_Exhibits[AnalysisStatus],"Submitted")</f>
        <v/>
      </c>
      <c r="D18" s="26">
        <f>COUNTIF(tbl_Exhibits[AnalysisStatus],"In Progress")</f>
        <v/>
      </c>
      <c r="E18" s="26">
        <f>COUNTIF(tbl_Exhibits[AnalysisStatus],"Completed")</f>
        <v/>
      </c>
      <c r="F18" s="26">
        <f>COUNTIF(tbl_Exhibits[CourtReadiness],"Ready")</f>
        <v/>
      </c>
      <c r="G18" s="26">
        <f>COUNTIF(tbl_Exhibits[CourtReadiness],"Not Ready")</f>
        <v/>
      </c>
      <c r="H18" s="26">
        <f>COUNTIFS(tbl_Exhibits[ExpectedReturn],"&lt;"&amp;TODAY(),tbl_Exhibits[ActualReturnDate],"")</f>
        <v/>
      </c>
    </row>
    <row r="20">
      <c r="A20" s="20" t="inlineStr">
        <is>
          <t>TRANSPORT &amp; FLEET STATUS</t>
        </is>
      </c>
    </row>
    <row r="21">
      <c r="A21" s="32" t="inlineStr">
        <is>
          <t>Total Fleet</t>
        </is>
      </c>
      <c r="B21" s="32" t="inlineStr">
        <is>
          <t>Available</t>
        </is>
      </c>
      <c r="C21" s="32" t="inlineStr">
        <is>
          <t>In Use</t>
        </is>
      </c>
      <c r="D21" s="32" t="inlineStr">
        <is>
          <t>Under Maint.</t>
        </is>
      </c>
      <c r="E21" s="32" t="inlineStr">
        <is>
          <t>Out of Service</t>
        </is>
      </c>
      <c r="F21" s="32" t="inlineStr">
        <is>
          <t>Service Overdue</t>
        </is>
      </c>
      <c r="G21" s="32" t="inlineStr">
        <is>
          <t>Total Fuel (L)</t>
        </is>
      </c>
      <c r="H21" s="32" t="inlineStr">
        <is>
          <t>Active Drivers</t>
        </is>
      </c>
    </row>
    <row r="22">
      <c r="A22" s="26">
        <f>COUNTA(tbl_Vehicles[VehicleID])-COUNTBLANK(tbl_Vehicles[VehicleID])</f>
        <v/>
      </c>
      <c r="B22" s="26">
        <f>COUNTIF(tbl_Vehicles[CurrentStatus],"Available")</f>
        <v/>
      </c>
      <c r="C22" s="26">
        <f>COUNTIF(tbl_Vehicles[CurrentStatus],"In Use")</f>
        <v/>
      </c>
      <c r="D22" s="26">
        <f>COUNTIF(tbl_Vehicles[CurrentStatus],"Under Maintenance")</f>
        <v/>
      </c>
      <c r="E22" s="26">
        <f>COUNTIF(tbl_Vehicles[CurrentStatus],"Out of Service")</f>
        <v/>
      </c>
      <c r="F22" s="26">
        <f>COUNTIFS(tbl_Vehicles[NextServiceDue],"&lt;"&amp;TODAY())</f>
        <v/>
      </c>
      <c r="G22" s="26">
        <f>SUM(tbl_FuelLog[Litres])</f>
        <v/>
      </c>
      <c r="H22" s="26">
        <f>COUNTIF(tbl_Drivers[Status],"Active")</f>
        <v/>
      </c>
    </row>
    <row r="24">
      <c r="A24" s="20" t="inlineStr">
        <is>
          <t>DEMAND REDUCTION &amp; COMMUNITY OUTREACH</t>
        </is>
      </c>
    </row>
    <row r="25">
      <c r="A25" s="38" t="inlineStr">
        <is>
          <t>Sessions Held</t>
        </is>
      </c>
      <c r="B25" s="38" t="inlineStr">
        <is>
          <t>Total Attendance</t>
        </is>
      </c>
      <c r="C25" s="38" t="inlineStr">
        <is>
          <t>Avg Attendance</t>
        </is>
      </c>
      <c r="D25" s="38" t="inlineStr">
        <is>
          <t>Total Hours</t>
        </is>
      </c>
      <c r="E25" s="38" t="inlineStr">
        <is>
          <t>With Follow-Up</t>
        </is>
      </c>
    </row>
    <row r="26">
      <c r="A26" s="26">
        <f>COUNTA(tbl_DemandReduction[LectureID])-COUNTBLANK(tbl_DemandReduction[LectureID])</f>
        <v/>
      </c>
      <c r="B26" s="26">
        <f>SUM(tbl_DemandReduction[Attendance])</f>
        <v/>
      </c>
      <c r="C26" s="26">
        <f>IFERROR(AVERAGE(tbl_DemandReduction[Attendance]),"—")</f>
        <v/>
      </c>
      <c r="D26" s="26">
        <f>SUM(tbl_DemandReduction[Duration_Hrs])</f>
        <v/>
      </c>
      <c r="E26" s="26">
        <f>COUNTIF(tbl_DemandReduction[FollowUpPlanned],"Yes")</f>
        <v/>
      </c>
    </row>
    <row r="28">
      <c r="A28" s="39" t="inlineStr">
        <is>
          <t>COMPLIANCE &amp; GOVERNANCE ALERTS</t>
        </is>
      </c>
    </row>
    <row r="29">
      <c r="A29" s="40" t="inlineStr">
        <is>
          <t>Overdue Actions</t>
        </is>
      </c>
      <c r="B29" s="40" t="inlineStr">
        <is>
          <t>Overdue Reviews</t>
        </is>
      </c>
      <c r="C29" s="40" t="inlineStr">
        <is>
          <t>Non-Compliant Cases</t>
        </is>
      </c>
      <c r="D29" s="40" t="inlineStr">
        <is>
          <t>Overdue Forensics</t>
        </is>
      </c>
      <c r="E29" s="40" t="inlineStr">
        <is>
          <t>Overdue Follow-Ups</t>
        </is>
      </c>
      <c r="F29" s="40" t="inlineStr">
        <is>
          <t>KPIs Off Track</t>
        </is>
      </c>
      <c r="G29" s="40" t="inlineStr">
        <is>
          <t>KPIs At Risk</t>
        </is>
      </c>
      <c r="H29" s="40" t="inlineStr">
        <is>
          <t>Vehicle Service Overdue</t>
        </is>
      </c>
    </row>
    <row r="30">
      <c r="A30" s="41">
        <f>COUNTIFS(tbl_Actions[DueDate],"&lt;"&amp;TODAY(),tbl_Actions[CompletedDate],"")</f>
        <v/>
      </c>
      <c r="B30" s="41">
        <f>COUNTIFS(tbl_Reviews[DueDate],"&lt;"&amp;TODAY(),tbl_Reviews[Status],"&lt;&gt;Completed")</f>
        <v/>
      </c>
      <c r="C30" s="41">
        <f>COUNTIF(tbl_Cases[ComplianceFlag],"Non-Compliant")</f>
        <v/>
      </c>
      <c r="D30" s="41">
        <f>COUNTIFS(tbl_Exhibits[ExpectedReturn],"&lt;"&amp;TODAY(),tbl_Exhibits[ActualReturnDate],"")</f>
        <v/>
      </c>
      <c r="E30" s="41">
        <f>COUNTIFS(tbl_Leads[FollowUpDueDate],"&lt;"&amp;TODAY(),tbl_Leads[FollowUpRequired],"Yes")</f>
        <v/>
      </c>
      <c r="F30" s="41">
        <f>COUNTIF(tbl_UnitPlans[TrafficLight_Monthly],"Off Track")</f>
        <v/>
      </c>
      <c r="G30" s="41">
        <f>COUNTIF(tbl_UnitPlans[TrafficLight_Monthly],"At Risk")</f>
        <v/>
      </c>
      <c r="H30" s="41">
        <f>COUNTIFS(tbl_Vehicles[NextServiceDue],"&lt;"&amp;TODAY())</f>
        <v/>
      </c>
    </row>
    <row r="32">
      <c r="A32" s="20" t="inlineStr">
        <is>
          <t>UNIT PERFORMANCE — PLAN vs ACTUAL (ALL UNITS)</t>
        </is>
      </c>
    </row>
    <row r="33">
      <c r="A33" s="13" t="inlineStr">
        <is>
          <t>Unit</t>
        </is>
      </c>
      <c r="B33" s="13" t="inlineStr">
        <is>
          <t>KPI</t>
        </is>
      </c>
      <c r="C33" s="13" t="inlineStr">
        <is>
          <t>Target (Monthly)</t>
        </is>
      </c>
      <c r="D33" s="13" t="inlineStr">
        <is>
          <t>Actual (MTD)</t>
        </is>
      </c>
      <c r="E33" s="13" t="inlineStr">
        <is>
          <t>Variance</t>
        </is>
      </c>
      <c r="F33" s="13" t="inlineStr">
        <is>
          <t>Achievement %</t>
        </is>
      </c>
      <c r="G33" s="13" t="inlineStr">
        <is>
          <t>Status (Monthly)</t>
        </is>
      </c>
    </row>
    <row r="34">
      <c r="A34" s="22">
        <f>INDEX(tbl_UnitPlans[Unit],1)</f>
        <v/>
      </c>
      <c r="B34" s="22">
        <f>INDEX(tbl_UnitPlans[KPI_Name],1)</f>
        <v/>
      </c>
      <c r="C34" s="22">
        <f>INDEX(tbl_UnitPlans[Target_Monthly],1)</f>
        <v/>
      </c>
      <c r="D34" s="22">
        <f>INDEX(tbl_UnitPlans[Actual_MTD],1)</f>
        <v/>
      </c>
      <c r="E34" s="22">
        <f>INDEX(tbl_UnitPlans[Variance_Monthly],1)</f>
        <v/>
      </c>
      <c r="F34" s="42">
        <f>INDEX(tbl_UnitPlans[Achievement_Pct_Monthly],1)</f>
        <v/>
      </c>
      <c r="G34" s="22">
        <f>INDEX(tbl_UnitPlans[TrafficLight_Monthly],1)</f>
        <v/>
      </c>
    </row>
    <row r="35">
      <c r="A35" s="22">
        <f>INDEX(tbl_UnitPlans[Unit],2)</f>
        <v/>
      </c>
      <c r="B35" s="22">
        <f>INDEX(tbl_UnitPlans[KPI_Name],2)</f>
        <v/>
      </c>
      <c r="C35" s="22">
        <f>INDEX(tbl_UnitPlans[Target_Monthly],2)</f>
        <v/>
      </c>
      <c r="D35" s="22">
        <f>INDEX(tbl_UnitPlans[Actual_MTD],2)</f>
        <v/>
      </c>
      <c r="E35" s="22">
        <f>INDEX(tbl_UnitPlans[Variance_Monthly],2)</f>
        <v/>
      </c>
      <c r="F35" s="42">
        <f>INDEX(tbl_UnitPlans[Achievement_Pct_Monthly],2)</f>
        <v/>
      </c>
      <c r="G35" s="22">
        <f>INDEX(tbl_UnitPlans[TrafficLight_Monthly],2)</f>
        <v/>
      </c>
    </row>
    <row r="36">
      <c r="A36" s="22">
        <f>INDEX(tbl_UnitPlans[Unit],3)</f>
        <v/>
      </c>
      <c r="B36" s="22">
        <f>INDEX(tbl_UnitPlans[KPI_Name],3)</f>
        <v/>
      </c>
      <c r="C36" s="22">
        <f>INDEX(tbl_UnitPlans[Target_Monthly],3)</f>
        <v/>
      </c>
      <c r="D36" s="22">
        <f>INDEX(tbl_UnitPlans[Actual_MTD],3)</f>
        <v/>
      </c>
      <c r="E36" s="22">
        <f>INDEX(tbl_UnitPlans[Variance_Monthly],3)</f>
        <v/>
      </c>
      <c r="F36" s="42">
        <f>INDEX(tbl_UnitPlans[Achievement_Pct_Monthly],3)</f>
        <v/>
      </c>
      <c r="G36" s="22">
        <f>INDEX(tbl_UnitPlans[TrafficLight_Monthly],3)</f>
        <v/>
      </c>
    </row>
    <row r="37">
      <c r="A37" s="22">
        <f>INDEX(tbl_UnitPlans[Unit],4)</f>
        <v/>
      </c>
      <c r="B37" s="22">
        <f>INDEX(tbl_UnitPlans[KPI_Name],4)</f>
        <v/>
      </c>
      <c r="C37" s="22">
        <f>INDEX(tbl_UnitPlans[Target_Monthly],4)</f>
        <v/>
      </c>
      <c r="D37" s="22">
        <f>INDEX(tbl_UnitPlans[Actual_MTD],4)</f>
        <v/>
      </c>
      <c r="E37" s="22">
        <f>INDEX(tbl_UnitPlans[Variance_Monthly],4)</f>
        <v/>
      </c>
      <c r="F37" s="42">
        <f>INDEX(tbl_UnitPlans[Achievement_Pct_Monthly],4)</f>
        <v/>
      </c>
      <c r="G37" s="22">
        <f>INDEX(tbl_UnitPlans[TrafficLight_Monthly],4)</f>
        <v/>
      </c>
    </row>
    <row r="38">
      <c r="A38" s="22">
        <f>INDEX(tbl_UnitPlans[Unit],5)</f>
        <v/>
      </c>
      <c r="B38" s="22">
        <f>INDEX(tbl_UnitPlans[KPI_Name],5)</f>
        <v/>
      </c>
      <c r="C38" s="22">
        <f>INDEX(tbl_UnitPlans[Target_Monthly],5)</f>
        <v/>
      </c>
      <c r="D38" s="22">
        <f>INDEX(tbl_UnitPlans[Actual_MTD],5)</f>
        <v/>
      </c>
      <c r="E38" s="22">
        <f>INDEX(tbl_UnitPlans[Variance_Monthly],5)</f>
        <v/>
      </c>
      <c r="F38" s="42">
        <f>INDEX(tbl_UnitPlans[Achievement_Pct_Monthly],5)</f>
        <v/>
      </c>
      <c r="G38" s="22">
        <f>INDEX(tbl_UnitPlans[TrafficLight_Monthly],5)</f>
        <v/>
      </c>
    </row>
    <row r="39">
      <c r="A39" s="22">
        <f>INDEX(tbl_UnitPlans[Unit],6)</f>
        <v/>
      </c>
      <c r="B39" s="22">
        <f>INDEX(tbl_UnitPlans[KPI_Name],6)</f>
        <v/>
      </c>
      <c r="C39" s="22">
        <f>INDEX(tbl_UnitPlans[Target_Monthly],6)</f>
        <v/>
      </c>
      <c r="D39" s="22">
        <f>INDEX(tbl_UnitPlans[Actual_MTD],6)</f>
        <v/>
      </c>
      <c r="E39" s="22">
        <f>INDEX(tbl_UnitPlans[Variance_Monthly],6)</f>
        <v/>
      </c>
      <c r="F39" s="42">
        <f>INDEX(tbl_UnitPlans[Achievement_Pct_Monthly],6)</f>
        <v/>
      </c>
      <c r="G39" s="22">
        <f>INDEX(tbl_UnitPlans[TrafficLight_Monthly],6)</f>
        <v/>
      </c>
    </row>
    <row r="40">
      <c r="A40" s="22">
        <f>INDEX(tbl_UnitPlans[Unit],7)</f>
        <v/>
      </c>
      <c r="B40" s="22">
        <f>INDEX(tbl_UnitPlans[KPI_Name],7)</f>
        <v/>
      </c>
      <c r="C40" s="22">
        <f>INDEX(tbl_UnitPlans[Target_Monthly],7)</f>
        <v/>
      </c>
      <c r="D40" s="22">
        <f>INDEX(tbl_UnitPlans[Actual_MTD],7)</f>
        <v/>
      </c>
      <c r="E40" s="22">
        <f>INDEX(tbl_UnitPlans[Variance_Monthly],7)</f>
        <v/>
      </c>
      <c r="F40" s="42">
        <f>INDEX(tbl_UnitPlans[Achievement_Pct_Monthly],7)</f>
        <v/>
      </c>
      <c r="G40" s="22">
        <f>INDEX(tbl_UnitPlans[TrafficLight_Monthly],7)</f>
        <v/>
      </c>
    </row>
    <row r="41">
      <c r="A41" s="22">
        <f>INDEX(tbl_UnitPlans[Unit],8)</f>
        <v/>
      </c>
      <c r="B41" s="22">
        <f>INDEX(tbl_UnitPlans[KPI_Name],8)</f>
        <v/>
      </c>
      <c r="C41" s="22">
        <f>INDEX(tbl_UnitPlans[Target_Monthly],8)</f>
        <v/>
      </c>
      <c r="D41" s="22">
        <f>INDEX(tbl_UnitPlans[Actual_MTD],8)</f>
        <v/>
      </c>
      <c r="E41" s="22">
        <f>INDEX(tbl_UnitPlans[Variance_Monthly],8)</f>
        <v/>
      </c>
      <c r="F41" s="42">
        <f>INDEX(tbl_UnitPlans[Achievement_Pct_Monthly],8)</f>
        <v/>
      </c>
      <c r="G41" s="22">
        <f>INDEX(tbl_UnitPlans[TrafficLight_Monthly],8)</f>
        <v/>
      </c>
    </row>
    <row r="42">
      <c r="A42" s="22">
        <f>INDEX(tbl_UnitPlans[Unit],9)</f>
        <v/>
      </c>
      <c r="B42" s="22">
        <f>INDEX(tbl_UnitPlans[KPI_Name],9)</f>
        <v/>
      </c>
      <c r="C42" s="22">
        <f>INDEX(tbl_UnitPlans[Target_Monthly],9)</f>
        <v/>
      </c>
      <c r="D42" s="22">
        <f>INDEX(tbl_UnitPlans[Actual_MTD],9)</f>
        <v/>
      </c>
      <c r="E42" s="22">
        <f>INDEX(tbl_UnitPlans[Variance_Monthly],9)</f>
        <v/>
      </c>
      <c r="F42" s="42">
        <f>INDEX(tbl_UnitPlans[Achievement_Pct_Monthly],9)</f>
        <v/>
      </c>
      <c r="G42" s="22">
        <f>INDEX(tbl_UnitPlans[TrafficLight_Monthly],9)</f>
        <v/>
      </c>
    </row>
    <row r="43">
      <c r="A43" s="22">
        <f>INDEX(tbl_UnitPlans[Unit],10)</f>
        <v/>
      </c>
      <c r="B43" s="22">
        <f>INDEX(tbl_UnitPlans[KPI_Name],10)</f>
        <v/>
      </c>
      <c r="C43" s="22">
        <f>INDEX(tbl_UnitPlans[Target_Monthly],10)</f>
        <v/>
      </c>
      <c r="D43" s="22">
        <f>INDEX(tbl_UnitPlans[Actual_MTD],10)</f>
        <v/>
      </c>
      <c r="E43" s="22">
        <f>INDEX(tbl_UnitPlans[Variance_Monthly],10)</f>
        <v/>
      </c>
      <c r="F43" s="42">
        <f>INDEX(tbl_UnitPlans[Achievement_Pct_Monthly],10)</f>
        <v/>
      </c>
      <c r="G43" s="22">
        <f>INDEX(tbl_UnitPlans[TrafficLight_Monthly],10)</f>
        <v/>
      </c>
    </row>
    <row r="44">
      <c r="A44" s="22">
        <f>INDEX(tbl_UnitPlans[Unit],11)</f>
        <v/>
      </c>
      <c r="B44" s="22">
        <f>INDEX(tbl_UnitPlans[KPI_Name],11)</f>
        <v/>
      </c>
      <c r="C44" s="22">
        <f>INDEX(tbl_UnitPlans[Target_Monthly],11)</f>
        <v/>
      </c>
      <c r="D44" s="22">
        <f>INDEX(tbl_UnitPlans[Actual_MTD],11)</f>
        <v/>
      </c>
      <c r="E44" s="22">
        <f>INDEX(tbl_UnitPlans[Variance_Monthly],11)</f>
        <v/>
      </c>
      <c r="F44" s="42">
        <f>INDEX(tbl_UnitPlans[Achievement_Pct_Monthly],11)</f>
        <v/>
      </c>
      <c r="G44" s="22">
        <f>INDEX(tbl_UnitPlans[TrafficLight_Monthly],11)</f>
        <v/>
      </c>
    </row>
    <row r="45">
      <c r="A45" s="22">
        <f>INDEX(tbl_UnitPlans[Unit],12)</f>
        <v/>
      </c>
      <c r="B45" s="22">
        <f>INDEX(tbl_UnitPlans[KPI_Name],12)</f>
        <v/>
      </c>
      <c r="C45" s="22">
        <f>INDEX(tbl_UnitPlans[Target_Monthly],12)</f>
        <v/>
      </c>
      <c r="D45" s="22">
        <f>INDEX(tbl_UnitPlans[Actual_MTD],12)</f>
        <v/>
      </c>
      <c r="E45" s="22">
        <f>INDEX(tbl_UnitPlans[Variance_Monthly],12)</f>
        <v/>
      </c>
      <c r="F45" s="42">
        <f>INDEX(tbl_UnitPlans[Achievement_Pct_Monthly],12)</f>
        <v/>
      </c>
      <c r="G45" s="22">
        <f>INDEX(tbl_UnitPlans[TrafficLight_Monthly],12)</f>
        <v/>
      </c>
    </row>
    <row r="46">
      <c r="A46" s="22">
        <f>INDEX(tbl_UnitPlans[Unit],13)</f>
        <v/>
      </c>
      <c r="B46" s="22">
        <f>INDEX(tbl_UnitPlans[KPI_Name],13)</f>
        <v/>
      </c>
      <c r="C46" s="22">
        <f>INDEX(tbl_UnitPlans[Target_Monthly],13)</f>
        <v/>
      </c>
      <c r="D46" s="22">
        <f>INDEX(tbl_UnitPlans[Actual_MTD],13)</f>
        <v/>
      </c>
      <c r="E46" s="22">
        <f>INDEX(tbl_UnitPlans[Variance_Monthly],13)</f>
        <v/>
      </c>
      <c r="F46" s="42">
        <f>INDEX(tbl_UnitPlans[Achievement_Pct_Monthly],13)</f>
        <v/>
      </c>
      <c r="G46" s="22">
        <f>INDEX(tbl_UnitPlans[TrafficLight_Monthly],13)</f>
        <v/>
      </c>
    </row>
    <row r="47">
      <c r="A47" s="22">
        <f>INDEX(tbl_UnitPlans[Unit],14)</f>
        <v/>
      </c>
      <c r="B47" s="22">
        <f>INDEX(tbl_UnitPlans[KPI_Name],14)</f>
        <v/>
      </c>
      <c r="C47" s="22">
        <f>INDEX(tbl_UnitPlans[Target_Monthly],14)</f>
        <v/>
      </c>
      <c r="D47" s="22">
        <f>INDEX(tbl_UnitPlans[Actual_MTD],14)</f>
        <v/>
      </c>
      <c r="E47" s="22">
        <f>INDEX(tbl_UnitPlans[Variance_Monthly],14)</f>
        <v/>
      </c>
      <c r="F47" s="42">
        <f>INDEX(tbl_UnitPlans[Achievement_Pct_Monthly],14)</f>
        <v/>
      </c>
      <c r="G47" s="22">
        <f>INDEX(tbl_UnitPlans[TrafficLight_Monthly],14)</f>
        <v/>
      </c>
    </row>
    <row r="48">
      <c r="A48" s="22">
        <f>INDEX(tbl_UnitPlans[Unit],15)</f>
        <v/>
      </c>
      <c r="B48" s="22">
        <f>INDEX(tbl_UnitPlans[KPI_Name],15)</f>
        <v/>
      </c>
      <c r="C48" s="22">
        <f>INDEX(tbl_UnitPlans[Target_Monthly],15)</f>
        <v/>
      </c>
      <c r="D48" s="22">
        <f>INDEX(tbl_UnitPlans[Actual_MTD],15)</f>
        <v/>
      </c>
      <c r="E48" s="22">
        <f>INDEX(tbl_UnitPlans[Variance_Monthly],15)</f>
        <v/>
      </c>
      <c r="F48" s="42">
        <f>INDEX(tbl_UnitPlans[Achievement_Pct_Monthly],15)</f>
        <v/>
      </c>
      <c r="G48" s="22">
        <f>INDEX(tbl_UnitPlans[TrafficLight_Monthly],15)</f>
        <v/>
      </c>
    </row>
    <row r="49">
      <c r="A49" s="22">
        <f>INDEX(tbl_UnitPlans[Unit],16)</f>
        <v/>
      </c>
      <c r="B49" s="22">
        <f>INDEX(tbl_UnitPlans[KPI_Name],16)</f>
        <v/>
      </c>
      <c r="C49" s="22">
        <f>INDEX(tbl_UnitPlans[Target_Monthly],16)</f>
        <v/>
      </c>
      <c r="D49" s="22">
        <f>INDEX(tbl_UnitPlans[Actual_MTD],16)</f>
        <v/>
      </c>
      <c r="E49" s="22">
        <f>INDEX(tbl_UnitPlans[Variance_Monthly],16)</f>
        <v/>
      </c>
      <c r="F49" s="42">
        <f>INDEX(tbl_UnitPlans[Achievement_Pct_Monthly],16)</f>
        <v/>
      </c>
      <c r="G49" s="22">
        <f>INDEX(tbl_UnitPlans[TrafficLight_Monthly],16)</f>
        <v/>
      </c>
    </row>
    <row r="50">
      <c r="A50" s="22">
        <f>INDEX(tbl_UnitPlans[Unit],17)</f>
        <v/>
      </c>
      <c r="B50" s="22">
        <f>INDEX(tbl_UnitPlans[KPI_Name],17)</f>
        <v/>
      </c>
      <c r="C50" s="22">
        <f>INDEX(tbl_UnitPlans[Target_Monthly],17)</f>
        <v/>
      </c>
      <c r="D50" s="22">
        <f>INDEX(tbl_UnitPlans[Actual_MTD],17)</f>
        <v/>
      </c>
      <c r="E50" s="22">
        <f>INDEX(tbl_UnitPlans[Variance_Monthly],17)</f>
        <v/>
      </c>
      <c r="F50" s="42">
        <f>INDEX(tbl_UnitPlans[Achievement_Pct_Monthly],17)</f>
        <v/>
      </c>
      <c r="G50" s="22">
        <f>INDEX(tbl_UnitPlans[TrafficLight_Monthly],17)</f>
        <v/>
      </c>
    </row>
    <row r="51">
      <c r="A51" s="22">
        <f>INDEX(tbl_UnitPlans[Unit],18)</f>
        <v/>
      </c>
      <c r="B51" s="22">
        <f>INDEX(tbl_UnitPlans[KPI_Name],18)</f>
        <v/>
      </c>
      <c r="C51" s="22">
        <f>INDEX(tbl_UnitPlans[Target_Monthly],18)</f>
        <v/>
      </c>
      <c r="D51" s="22">
        <f>INDEX(tbl_UnitPlans[Actual_MTD],18)</f>
        <v/>
      </c>
      <c r="E51" s="22">
        <f>INDEX(tbl_UnitPlans[Variance_Monthly],18)</f>
        <v/>
      </c>
      <c r="F51" s="42">
        <f>INDEX(tbl_UnitPlans[Achievement_Pct_Monthly],18)</f>
        <v/>
      </c>
      <c r="G51" s="22">
        <f>INDEX(tbl_UnitPlans[TrafficLight_Monthly],18)</f>
        <v/>
      </c>
    </row>
    <row r="52">
      <c r="A52" s="22">
        <f>INDEX(tbl_UnitPlans[Unit],19)</f>
        <v/>
      </c>
      <c r="B52" s="22">
        <f>INDEX(tbl_UnitPlans[KPI_Name],19)</f>
        <v/>
      </c>
      <c r="C52" s="22">
        <f>INDEX(tbl_UnitPlans[Target_Monthly],19)</f>
        <v/>
      </c>
      <c r="D52" s="22">
        <f>INDEX(tbl_UnitPlans[Actual_MTD],19)</f>
        <v/>
      </c>
      <c r="E52" s="22">
        <f>INDEX(tbl_UnitPlans[Variance_Monthly],19)</f>
        <v/>
      </c>
      <c r="F52" s="42">
        <f>INDEX(tbl_UnitPlans[Achievement_Pct_Monthly],19)</f>
        <v/>
      </c>
      <c r="G52" s="22">
        <f>INDEX(tbl_UnitPlans[TrafficLight_Monthly],19)</f>
        <v/>
      </c>
    </row>
    <row r="53">
      <c r="A53" s="22">
        <f>INDEX(tbl_UnitPlans[Unit],20)</f>
        <v/>
      </c>
      <c r="B53" s="22">
        <f>INDEX(tbl_UnitPlans[KPI_Name],20)</f>
        <v/>
      </c>
      <c r="C53" s="22">
        <f>INDEX(tbl_UnitPlans[Target_Monthly],20)</f>
        <v/>
      </c>
      <c r="D53" s="22">
        <f>INDEX(tbl_UnitPlans[Actual_MTD],20)</f>
        <v/>
      </c>
      <c r="E53" s="22">
        <f>INDEX(tbl_UnitPlans[Variance_Monthly],20)</f>
        <v/>
      </c>
      <c r="F53" s="42">
        <f>INDEX(tbl_UnitPlans[Achievement_Pct_Monthly],20)</f>
        <v/>
      </c>
      <c r="G53" s="22">
        <f>INDEX(tbl_UnitPlans[TrafficLight_Monthly],20)</f>
        <v/>
      </c>
    </row>
    <row r="54">
      <c r="A54" s="22">
        <f>INDEX(tbl_UnitPlans[Unit],21)</f>
        <v/>
      </c>
      <c r="B54" s="22">
        <f>INDEX(tbl_UnitPlans[KPI_Name],21)</f>
        <v/>
      </c>
      <c r="C54" s="22">
        <f>INDEX(tbl_UnitPlans[Target_Monthly],21)</f>
        <v/>
      </c>
      <c r="D54" s="22">
        <f>INDEX(tbl_UnitPlans[Actual_MTD],21)</f>
        <v/>
      </c>
      <c r="E54" s="22">
        <f>INDEX(tbl_UnitPlans[Variance_Monthly],21)</f>
        <v/>
      </c>
      <c r="F54" s="42">
        <f>INDEX(tbl_UnitPlans[Achievement_Pct_Monthly],21)</f>
        <v/>
      </c>
      <c r="G54" s="22">
        <f>INDEX(tbl_UnitPlans[TrafficLight_Monthly],21)</f>
        <v/>
      </c>
    </row>
    <row r="55">
      <c r="A55" s="22">
        <f>INDEX(tbl_UnitPlans[Unit],22)</f>
        <v/>
      </c>
      <c r="B55" s="22">
        <f>INDEX(tbl_UnitPlans[KPI_Name],22)</f>
        <v/>
      </c>
      <c r="C55" s="22">
        <f>INDEX(tbl_UnitPlans[Target_Monthly],22)</f>
        <v/>
      </c>
      <c r="D55" s="22">
        <f>INDEX(tbl_UnitPlans[Actual_MTD],22)</f>
        <v/>
      </c>
      <c r="E55" s="22">
        <f>INDEX(tbl_UnitPlans[Variance_Monthly],22)</f>
        <v/>
      </c>
      <c r="F55" s="42">
        <f>INDEX(tbl_UnitPlans[Achievement_Pct_Monthly],22)</f>
        <v/>
      </c>
      <c r="G55" s="22">
        <f>INDEX(tbl_UnitPlans[TrafficLight_Monthly],22)</f>
        <v/>
      </c>
    </row>
    <row r="56">
      <c r="A56" s="22">
        <f>INDEX(tbl_UnitPlans[Unit],23)</f>
        <v/>
      </c>
      <c r="B56" s="22">
        <f>INDEX(tbl_UnitPlans[KPI_Name],23)</f>
        <v/>
      </c>
      <c r="C56" s="22">
        <f>INDEX(tbl_UnitPlans[Target_Monthly],23)</f>
        <v/>
      </c>
      <c r="D56" s="22">
        <f>INDEX(tbl_UnitPlans[Actual_MTD],23)</f>
        <v/>
      </c>
      <c r="E56" s="22">
        <f>INDEX(tbl_UnitPlans[Variance_Monthly],23)</f>
        <v/>
      </c>
      <c r="F56" s="42">
        <f>INDEX(tbl_UnitPlans[Achievement_Pct_Monthly],23)</f>
        <v/>
      </c>
      <c r="G56" s="22">
        <f>INDEX(tbl_UnitPlans[TrafficLight_Monthly],23)</f>
        <v/>
      </c>
    </row>
    <row r="57">
      <c r="A57" s="22">
        <f>INDEX(tbl_UnitPlans[Unit],24)</f>
        <v/>
      </c>
      <c r="B57" s="22">
        <f>INDEX(tbl_UnitPlans[KPI_Name],24)</f>
        <v/>
      </c>
      <c r="C57" s="22">
        <f>INDEX(tbl_UnitPlans[Target_Monthly],24)</f>
        <v/>
      </c>
      <c r="D57" s="22">
        <f>INDEX(tbl_UnitPlans[Actual_MTD],24)</f>
        <v/>
      </c>
      <c r="E57" s="22">
        <f>INDEX(tbl_UnitPlans[Variance_Monthly],24)</f>
        <v/>
      </c>
      <c r="F57" s="42">
        <f>INDEX(tbl_UnitPlans[Achievement_Pct_Monthly],24)</f>
        <v/>
      </c>
      <c r="G57" s="22">
        <f>INDEX(tbl_UnitPlans[TrafficLight_Monthly],24)</f>
        <v/>
      </c>
    </row>
    <row r="58">
      <c r="A58" s="22">
        <f>INDEX(tbl_UnitPlans[Unit],25)</f>
        <v/>
      </c>
      <c r="B58" s="22">
        <f>INDEX(tbl_UnitPlans[KPI_Name],25)</f>
        <v/>
      </c>
      <c r="C58" s="22">
        <f>INDEX(tbl_UnitPlans[Target_Monthly],25)</f>
        <v/>
      </c>
      <c r="D58" s="22">
        <f>INDEX(tbl_UnitPlans[Actual_MTD],25)</f>
        <v/>
      </c>
      <c r="E58" s="22">
        <f>INDEX(tbl_UnitPlans[Variance_Monthly],25)</f>
        <v/>
      </c>
      <c r="F58" s="42">
        <f>INDEX(tbl_UnitPlans[Achievement_Pct_Monthly],25)</f>
        <v/>
      </c>
      <c r="G58" s="22">
        <f>INDEX(tbl_UnitPlans[TrafficLight_Monthly],25)</f>
        <v/>
      </c>
    </row>
    <row r="59">
      <c r="A59" s="22">
        <f>INDEX(tbl_UnitPlans[Unit],26)</f>
        <v/>
      </c>
      <c r="B59" s="22">
        <f>INDEX(tbl_UnitPlans[KPI_Name],26)</f>
        <v/>
      </c>
      <c r="C59" s="22">
        <f>INDEX(tbl_UnitPlans[Target_Monthly],26)</f>
        <v/>
      </c>
      <c r="D59" s="22">
        <f>INDEX(tbl_UnitPlans[Actual_MTD],26)</f>
        <v/>
      </c>
      <c r="E59" s="22">
        <f>INDEX(tbl_UnitPlans[Variance_Monthly],26)</f>
        <v/>
      </c>
      <c r="F59" s="42">
        <f>INDEX(tbl_UnitPlans[Achievement_Pct_Monthly],26)</f>
        <v/>
      </c>
      <c r="G59" s="22">
        <f>INDEX(tbl_UnitPlans[TrafficLight_Monthly],26)</f>
        <v/>
      </c>
    </row>
    <row r="60">
      <c r="A60" s="22">
        <f>INDEX(tbl_UnitPlans[Unit],27)</f>
        <v/>
      </c>
      <c r="B60" s="22">
        <f>INDEX(tbl_UnitPlans[KPI_Name],27)</f>
        <v/>
      </c>
      <c r="C60" s="22">
        <f>INDEX(tbl_UnitPlans[Target_Monthly],27)</f>
        <v/>
      </c>
      <c r="D60" s="22">
        <f>INDEX(tbl_UnitPlans[Actual_MTD],27)</f>
        <v/>
      </c>
      <c r="E60" s="22">
        <f>INDEX(tbl_UnitPlans[Variance_Monthly],27)</f>
        <v/>
      </c>
      <c r="F60" s="42">
        <f>INDEX(tbl_UnitPlans[Achievement_Pct_Monthly],27)</f>
        <v/>
      </c>
      <c r="G60" s="22">
        <f>INDEX(tbl_UnitPlans[TrafficLight_Monthly],27)</f>
        <v/>
      </c>
    </row>
    <row r="61">
      <c r="A61" s="22">
        <f>INDEX(tbl_UnitPlans[Unit],28)</f>
        <v/>
      </c>
      <c r="B61" s="22">
        <f>INDEX(tbl_UnitPlans[KPI_Name],28)</f>
        <v/>
      </c>
      <c r="C61" s="22">
        <f>INDEX(tbl_UnitPlans[Target_Monthly],28)</f>
        <v/>
      </c>
      <c r="D61" s="22">
        <f>INDEX(tbl_UnitPlans[Actual_MTD],28)</f>
        <v/>
      </c>
      <c r="E61" s="22">
        <f>INDEX(tbl_UnitPlans[Variance_Monthly],28)</f>
        <v/>
      </c>
      <c r="F61" s="42">
        <f>INDEX(tbl_UnitPlans[Achievement_Pct_Monthly],28)</f>
        <v/>
      </c>
      <c r="G61" s="22">
        <f>INDEX(tbl_UnitPlans[TrafficLight_Monthly],28)</f>
        <v/>
      </c>
    </row>
    <row r="62">
      <c r="A62" s="22">
        <f>INDEX(tbl_UnitPlans[Unit],29)</f>
        <v/>
      </c>
      <c r="B62" s="22">
        <f>INDEX(tbl_UnitPlans[KPI_Name],29)</f>
        <v/>
      </c>
      <c r="C62" s="22">
        <f>INDEX(tbl_UnitPlans[Target_Monthly],29)</f>
        <v/>
      </c>
      <c r="D62" s="22">
        <f>INDEX(tbl_UnitPlans[Actual_MTD],29)</f>
        <v/>
      </c>
      <c r="E62" s="22">
        <f>INDEX(tbl_UnitPlans[Variance_Monthly],29)</f>
        <v/>
      </c>
      <c r="F62" s="42">
        <f>INDEX(tbl_UnitPlans[Achievement_Pct_Monthly],29)</f>
        <v/>
      </c>
      <c r="G62" s="22">
        <f>INDEX(tbl_UnitPlans[TrafficLight_Monthly],29)</f>
        <v/>
      </c>
    </row>
    <row r="63">
      <c r="A63" s="22">
        <f>INDEX(tbl_UnitPlans[Unit],30)</f>
        <v/>
      </c>
      <c r="B63" s="22">
        <f>INDEX(tbl_UnitPlans[KPI_Name],30)</f>
        <v/>
      </c>
      <c r="C63" s="22">
        <f>INDEX(tbl_UnitPlans[Target_Monthly],30)</f>
        <v/>
      </c>
      <c r="D63" s="22">
        <f>INDEX(tbl_UnitPlans[Actual_MTD],30)</f>
        <v/>
      </c>
      <c r="E63" s="22">
        <f>INDEX(tbl_UnitPlans[Variance_Monthly],30)</f>
        <v/>
      </c>
      <c r="F63" s="42">
        <f>INDEX(tbl_UnitPlans[Achievement_Pct_Monthly],30)</f>
        <v/>
      </c>
      <c r="G63" s="22">
        <f>INDEX(tbl_UnitPlans[TrafficLight_Monthly],30)</f>
        <v/>
      </c>
    </row>
    <row r="64">
      <c r="A64" s="22">
        <f>INDEX(tbl_UnitPlans[Unit],31)</f>
        <v/>
      </c>
      <c r="B64" s="22">
        <f>INDEX(tbl_UnitPlans[KPI_Name],31)</f>
        <v/>
      </c>
      <c r="C64" s="22">
        <f>INDEX(tbl_UnitPlans[Target_Monthly],31)</f>
        <v/>
      </c>
      <c r="D64" s="22">
        <f>INDEX(tbl_UnitPlans[Actual_MTD],31)</f>
        <v/>
      </c>
      <c r="E64" s="22">
        <f>INDEX(tbl_UnitPlans[Variance_Monthly],31)</f>
        <v/>
      </c>
      <c r="F64" s="42">
        <f>INDEX(tbl_UnitPlans[Achievement_Pct_Monthly],31)</f>
        <v/>
      </c>
      <c r="G64" s="22">
        <f>INDEX(tbl_UnitPlans[TrafficLight_Monthly],31)</f>
        <v/>
      </c>
    </row>
    <row r="65">
      <c r="A65" s="22">
        <f>INDEX(tbl_UnitPlans[Unit],32)</f>
        <v/>
      </c>
      <c r="B65" s="22">
        <f>INDEX(tbl_UnitPlans[KPI_Name],32)</f>
        <v/>
      </c>
      <c r="C65" s="22">
        <f>INDEX(tbl_UnitPlans[Target_Monthly],32)</f>
        <v/>
      </c>
      <c r="D65" s="22">
        <f>INDEX(tbl_UnitPlans[Actual_MTD],32)</f>
        <v/>
      </c>
      <c r="E65" s="22">
        <f>INDEX(tbl_UnitPlans[Variance_Monthly],32)</f>
        <v/>
      </c>
      <c r="F65" s="42">
        <f>INDEX(tbl_UnitPlans[Achievement_Pct_Monthly],32)</f>
        <v/>
      </c>
      <c r="G65" s="22">
        <f>INDEX(tbl_UnitPlans[TrafficLight_Monthly],32)</f>
        <v/>
      </c>
    </row>
  </sheetData>
  <mergeCells count="10">
    <mergeCell ref="A20:L20"/>
    <mergeCell ref="A24:L24"/>
    <mergeCell ref="A2:L2"/>
    <mergeCell ref="A16:L16"/>
    <mergeCell ref="A1:L1"/>
    <mergeCell ref="A28:L28"/>
    <mergeCell ref="A32:L32"/>
    <mergeCell ref="A8:L8"/>
    <mergeCell ref="A12:L12"/>
    <mergeCell ref="A4:L4"/>
  </mergeCells>
  <conditionalFormatting sqref="G34:G65">
    <cfRule type="expression" priority="1" dxfId="2">
      <formula>=G34="On Track"</formula>
    </cfRule>
    <cfRule type="expression" priority="2" dxfId="1">
      <formula>=G34="At Risk"</formula>
    </cfRule>
    <cfRule type="expression" priority="3" dxfId="0">
      <formula>=G34="Off Track"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002060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FNID AREA 3 — CENTRAL STATISTICS HUB</t>
        </is>
      </c>
    </row>
    <row r="2" ht="28" customHeight="1">
      <c r="A2" s="31" t="inlineStr">
        <is>
          <t>Aggregated Statistics Across All Modules &amp; Units</t>
        </is>
      </c>
    </row>
    <row r="4">
      <c r="A4" s="43" t="inlineStr">
        <is>
          <t>CASES &amp; REGISTRY</t>
        </is>
      </c>
    </row>
    <row r="5">
      <c r="A5" s="25" t="inlineStr">
        <is>
          <t>Total Cases Registered</t>
        </is>
      </c>
      <c r="B5" s="44">
        <f>COUNTA(tbl_Cases[CaseID])-COUNTBLANK(tbl_Cases[CaseID])</f>
        <v/>
      </c>
      <c r="C5" s="25" t="inlineStr">
        <is>
          <t>Open / Active</t>
        </is>
      </c>
      <c r="D5" s="44">
        <f>COUNTIF(tbl_Cases[CaseStatus],"Open")+COUNTIF(tbl_Cases[CaseStatus],"Active")</f>
        <v/>
      </c>
      <c r="E5" s="25" t="inlineStr">
        <is>
          <t>Under Investigation</t>
        </is>
      </c>
      <c r="F5" s="44">
        <f>COUNTIF(tbl_Cases[CaseStatus],"Under Investigation")</f>
        <v/>
      </c>
      <c r="G5" s="25" t="inlineStr">
        <is>
          <t>Pending Review</t>
        </is>
      </c>
      <c r="H5" s="44">
        <f>COUNTIF(tbl_Cases[CaseStatus],"Pending Review")</f>
        <v/>
      </c>
      <c r="I5" s="25" t="inlineStr">
        <is>
          <t>Pending Court</t>
        </is>
      </c>
      <c r="J5" s="44">
        <f>COUNTIF(tbl_Cases[CaseStatus],"Pending Court")</f>
        <v/>
      </c>
      <c r="K5" s="25" t="inlineStr">
        <is>
          <t>Closed (All)</t>
        </is>
      </c>
      <c r="L5" s="44">
        <f>COUNTIFS(tbl_Cases[CaseStatus],"Closed*")</f>
        <v/>
      </c>
    </row>
    <row r="6">
      <c r="A6" s="25" t="inlineStr">
        <is>
          <t>Cold Cases</t>
        </is>
      </c>
      <c r="B6" s="44">
        <f>COUNTIF(tbl_Cases[CaseStatus],"Cold Case")</f>
        <v/>
      </c>
      <c r="C6" s="25" t="inlineStr">
        <is>
          <t>CR1 Compliant %</t>
        </is>
      </c>
      <c r="D6" s="44">
        <f>IFERROR(COUNTIF(tbl_Cases[CR1_Compliant],"Yes")/COUNTA(tbl_Cases[CR1_Compliant]),"—")</f>
        <v/>
      </c>
      <c r="E6" s="25" t="inlineStr">
        <is>
          <t>CR2 Compliant %</t>
        </is>
      </c>
      <c r="F6" s="44">
        <f>IFERROR(COUNTIF(tbl_Cases[CR2_Compliant],"Yes")/COUNTA(tbl_Cases[CR2_Compliant]),"—")</f>
        <v/>
      </c>
      <c r="G6" s="25" t="inlineStr">
        <is>
          <t>CR5 Compliant %</t>
        </is>
      </c>
      <c r="H6" s="44">
        <f>IFERROR(COUNTIF(tbl_Cases[CR5_Compliant],"Yes")/COUNTA(tbl_Cases[CR5_Compliant]),"—")</f>
        <v/>
      </c>
      <c r="I6" s="25" t="inlineStr">
        <is>
          <t>Firearms Cases</t>
        </is>
      </c>
      <c r="J6" s="44">
        <f>COUNTIFS(tbl_Cases[OffenceType],"*Firearm*")+COUNTIFS(tbl_Cases[OffenceType],"*Ammunition*")</f>
        <v/>
      </c>
      <c r="K6" s="25" t="inlineStr">
        <is>
          <t>Narcotics Cases</t>
        </is>
      </c>
      <c r="L6" s="44">
        <f>COUNTIFS(tbl_Cases[OffenceType],"*Narcotic*")+COUNTIFS(tbl_Cases[OffenceType],"*Cannabis*")+COUNTIFS(tbl_Cases[OffenceType],"*Cocaine*")</f>
        <v/>
      </c>
    </row>
    <row r="9">
      <c r="A9" s="45" t="inlineStr">
        <is>
          <t>INTELLIGENCE</t>
        </is>
      </c>
    </row>
    <row r="10">
      <c r="A10" s="25" t="inlineStr">
        <is>
          <t>Total Leads</t>
        </is>
      </c>
      <c r="B10" s="44">
        <f>COUNTA(tbl_Leads[LeadID])-COUNTBLANK(tbl_Leads[LeadID])</f>
        <v/>
      </c>
      <c r="C10" s="25" t="inlineStr">
        <is>
          <t>MCR-Sourced Leads</t>
        </is>
      </c>
      <c r="D10" s="44">
        <f>COUNTIF(tbl_Leads[Source],"MCR")</f>
        <v/>
      </c>
      <c r="E10" s="25" t="inlineStr">
        <is>
          <t>Operations-Sourced</t>
        </is>
      </c>
      <c r="F10" s="44">
        <f>COUNTIF(tbl_Leads[Source],"Operations")</f>
        <v/>
      </c>
      <c r="G10" s="25" t="inlineStr">
        <is>
          <t>Tip-off Sourced</t>
        </is>
      </c>
      <c r="H10" s="44">
        <f>COUNTIF(tbl_Leads[Source],"Tip-off")</f>
        <v/>
      </c>
      <c r="I10" s="25" t="inlineStr">
        <is>
          <t>Leads Triaged</t>
        </is>
      </c>
      <c r="J10" s="44">
        <f>COUNTA(tbl_Leads[TriageDecision])-COUNTBLANK(tbl_Leads[TriageDecision])</f>
        <v/>
      </c>
      <c r="K10" s="25" t="inlineStr">
        <is>
          <t>Pending Triage</t>
        </is>
      </c>
      <c r="L10" s="44">
        <f>COUNTBLANK(tbl_Leads[TriageDecision])</f>
        <v/>
      </c>
    </row>
    <row r="11">
      <c r="A11" s="25" t="inlineStr">
        <is>
          <t>Converted to Case</t>
        </is>
      </c>
      <c r="B11" s="44">
        <f>COUNTIF(tbl_Leads[Outcome],"Converted to Case")</f>
        <v/>
      </c>
      <c r="C11" s="25" t="inlineStr">
        <is>
          <t>Converted to Op</t>
        </is>
      </c>
      <c r="D11" s="44">
        <f>COUNTIF(tbl_Leads[Outcome],"Converted to Op")</f>
        <v/>
      </c>
      <c r="E11" s="25" t="inlineStr">
        <is>
          <t>Conversion Rate</t>
        </is>
      </c>
      <c r="F11" s="44">
        <f>IFERROR((COUNTIF(tbl_Leads[Outcome],"Converted to Case")+COUNTIF(tbl_Leads[Outcome],"Converted to Op"))/(COUNTA(tbl_Leads[LeadID])-COUNTBLANK(tbl_Leads[LeadID])),"—")</f>
        <v/>
      </c>
      <c r="G11" s="25" t="inlineStr">
        <is>
          <t>Briefings Delivered</t>
        </is>
      </c>
      <c r="H11" s="44">
        <f>COUNTA(tbl_IntelBriefings[BriefingID])-COUNTBLANK(tbl_IntelBriefings[BriefingID])</f>
        <v/>
      </c>
      <c r="I11" s="25" t="inlineStr">
        <is>
          <t>FCSI-Flagged Leads</t>
        </is>
      </c>
      <c r="J11" s="44">
        <f>COUNTIF(tbl_Leads[FCSI_Flag],"Yes")</f>
        <v/>
      </c>
      <c r="K11" s="25" t="inlineStr">
        <is>
          <t>Follow-Ups Overdue</t>
        </is>
      </c>
      <c r="L11" s="44">
        <f>COUNTIFS(tbl_Leads[FollowUpDueDate],"&lt;"&amp;TODAY(),tbl_Leads[FollowUpRequired],"Yes")</f>
        <v/>
      </c>
    </row>
    <row r="14">
      <c r="A14" s="8" t="inlineStr">
        <is>
          <t>OPERATIONS</t>
        </is>
      </c>
    </row>
    <row r="15">
      <c r="A15" s="25" t="inlineStr">
        <is>
          <t>Total Operations</t>
        </is>
      </c>
      <c r="B15" s="44">
        <f>COUNTA(tbl_Operations[OPS_ID])-COUNTBLANK(tbl_Operations[OPS_ID])</f>
        <v/>
      </c>
      <c r="C15" s="25" t="inlineStr">
        <is>
          <t>Search Warrants</t>
        </is>
      </c>
      <c r="D15" s="44">
        <f>COUNTIF(tbl_Operations[OpsType],"Search Warrant")</f>
        <v/>
      </c>
      <c r="E15" s="25" t="inlineStr">
        <is>
          <t>Patrols</t>
        </is>
      </c>
      <c r="F15" s="44">
        <f>COUNTIF(tbl_Operations[OpsType],"Patrol")</f>
        <v/>
      </c>
      <c r="G15" s="25" t="inlineStr">
        <is>
          <t>Checkpoints</t>
        </is>
      </c>
      <c r="H15" s="44">
        <f>COUNTIF(tbl_Operations[OpsType],"Checkpoint")</f>
        <v/>
      </c>
      <c r="I15" s="25" t="inlineStr">
        <is>
          <t>Raids</t>
        </is>
      </c>
      <c r="J15" s="44">
        <f>COUNTIF(tbl_Operations[OpsType],"Raid")</f>
        <v/>
      </c>
      <c r="K15" s="25" t="inlineStr">
        <is>
          <t>Surveillance</t>
        </is>
      </c>
      <c r="L15" s="44">
        <f>COUNTIF(tbl_Operations[OpsType],"Surveillance")</f>
        <v/>
      </c>
    </row>
    <row r="16">
      <c r="A16" s="25" t="inlineStr">
        <is>
          <t>FCSI Operations</t>
        </is>
      </c>
      <c r="B16" s="44">
        <f>COUNTIF(tbl_Operations[FCSI_Flag],"Yes")</f>
        <v/>
      </c>
      <c r="C16" s="25" t="inlineStr">
        <is>
          <t>Total Arrests</t>
        </is>
      </c>
      <c r="D16" s="44">
        <f>SUM(tbl_Operations[Arrests])</f>
        <v/>
      </c>
      <c r="E16" s="25" t="inlineStr">
        <is>
          <t>Firearms Seized</t>
        </is>
      </c>
      <c r="F16" s="44">
        <f>SUM(tbl_Operations[FirearmsSeized])</f>
        <v/>
      </c>
      <c r="G16" s="25" t="inlineStr">
        <is>
          <t>Ammunition Seized</t>
        </is>
      </c>
      <c r="H16" s="44">
        <f>SUM(tbl_Operations[AmmunitionSeized])</f>
        <v/>
      </c>
      <c r="I16" s="25" t="inlineStr">
        <is>
          <t>Narcotics Seized (kg)</t>
        </is>
      </c>
      <c r="J16" s="44">
        <f>SUM(tbl_Operations[NarcoticsSeized_kg])</f>
        <v/>
      </c>
      <c r="K16" s="25" t="inlineStr">
        <is>
          <t>Cash Seized</t>
        </is>
      </c>
      <c r="L16" s="44">
        <f>SUM(tbl_Operations[CashSeized])</f>
        <v/>
      </c>
    </row>
    <row r="19">
      <c r="A19" s="9" t="inlineStr">
        <is>
          <t>EVIDENCE &amp; FORENSICS</t>
        </is>
      </c>
    </row>
    <row r="20">
      <c r="A20" s="25" t="inlineStr">
        <is>
          <t>Total Exhibits</t>
        </is>
      </c>
      <c r="B20" s="44">
        <f>COUNTA(tbl_Exhibits[ExhibitID])-COUNTBLANK(tbl_Exhibits[ExhibitID])</f>
        <v/>
      </c>
      <c r="C20" s="25" t="inlineStr">
        <is>
          <t>Pending Analysis</t>
        </is>
      </c>
      <c r="D20" s="44">
        <f>COUNTIF(tbl_Exhibits[AnalysisStatus],"Pending")</f>
        <v/>
      </c>
      <c r="E20" s="25" t="inlineStr">
        <is>
          <t>Submitted to Lab</t>
        </is>
      </c>
      <c r="F20" s="44">
        <f>COUNTIF(tbl_Exhibits[AnalysisStatus],"Submitted")</f>
        <v/>
      </c>
      <c r="G20" s="25" t="inlineStr">
        <is>
          <t>Analysis In Progress</t>
        </is>
      </c>
      <c r="H20" s="44">
        <f>COUNTIF(tbl_Exhibits[AnalysisStatus],"In Progress")</f>
        <v/>
      </c>
      <c r="I20" s="25" t="inlineStr">
        <is>
          <t>Analysis Completed</t>
        </is>
      </c>
      <c r="J20" s="44">
        <f>COUNTIF(tbl_Exhibits[AnalysisStatus],"Completed")</f>
        <v/>
      </c>
      <c r="K20" s="25" t="inlineStr">
        <is>
          <t>Court Ready</t>
        </is>
      </c>
      <c r="L20" s="44">
        <f>COUNTIF(tbl_Exhibits[CourtReadiness],"Ready")</f>
        <v/>
      </c>
    </row>
    <row r="21">
      <c r="A21" s="25" t="inlineStr">
        <is>
          <t>Not Court Ready</t>
        </is>
      </c>
      <c r="B21" s="44">
        <f>COUNTIF(tbl_Exhibits[CourtReadiness],"Not Ready")</f>
        <v/>
      </c>
      <c r="C21" s="25" t="inlineStr">
        <is>
          <t>Avg Turnaround (days)</t>
        </is>
      </c>
      <c r="D21" s="44">
        <f>IFERROR(AVERAGE(tbl_Exhibits[TurnaroundDays]),"—")</f>
        <v/>
      </c>
      <c r="E21" s="25" t="inlineStr">
        <is>
          <t>Overdue Returns</t>
        </is>
      </c>
      <c r="F21" s="44">
        <f>COUNTIFS(tbl_Exhibits[ExpectedReturn],"&lt;"&amp;TODAY(),tbl_Exhibits[ActualReturnDate],"")</f>
        <v/>
      </c>
      <c r="G21" s="25" t="inlineStr">
        <is>
          <t>Firearms Exhibits</t>
        </is>
      </c>
      <c r="H21" s="44">
        <f>COUNTIF(tbl_Exhibits[EvidenceType],"Firearm")</f>
        <v/>
      </c>
      <c r="I21" s="25" t="inlineStr">
        <is>
          <t>Narcotics Exhibits</t>
        </is>
      </c>
      <c r="J21" s="44">
        <f>COUNTIFS(tbl_Exhibits[EvidenceType],"Narcotics*")</f>
        <v/>
      </c>
      <c r="K21" s="25" t="inlineStr">
        <is>
          <t>Electronic Devices</t>
        </is>
      </c>
      <c r="L21" s="44">
        <f>COUNTIF(tbl_Exhibits[EvidenceType],"Electronic Device")</f>
        <v/>
      </c>
    </row>
    <row r="24">
      <c r="A24" s="46" t="inlineStr">
        <is>
          <t>TRANSPORT &amp; FLEET</t>
        </is>
      </c>
    </row>
    <row r="25">
      <c r="A25" s="25" t="inlineStr">
        <is>
          <t>Total Vehicles</t>
        </is>
      </c>
      <c r="B25" s="44">
        <f>COUNTA(tbl_Vehicles[VehicleID])-COUNTBLANK(tbl_Vehicles[VehicleID])</f>
        <v/>
      </c>
      <c r="C25" s="25" t="inlineStr">
        <is>
          <t>Available</t>
        </is>
      </c>
      <c r="D25" s="44">
        <f>COUNTIF(tbl_Vehicles[CurrentStatus],"Available")</f>
        <v/>
      </c>
      <c r="E25" s="25" t="inlineStr">
        <is>
          <t>In Use</t>
        </is>
      </c>
      <c r="F25" s="44">
        <f>COUNTIF(tbl_Vehicles[CurrentStatus],"In Use")</f>
        <v/>
      </c>
      <c r="G25" s="25" t="inlineStr">
        <is>
          <t>Under Maintenance</t>
        </is>
      </c>
      <c r="H25" s="44">
        <f>COUNTIF(tbl_Vehicles[CurrentStatus],"Under Maintenance")</f>
        <v/>
      </c>
      <c r="I25" s="25" t="inlineStr">
        <is>
          <t>Out of Service</t>
        </is>
      </c>
      <c r="J25" s="44">
        <f>COUNTIF(tbl_Vehicles[CurrentStatus],"Out of Service")</f>
        <v/>
      </c>
      <c r="K25" s="25" t="inlineStr">
        <is>
          <t>Availability Rate %</t>
        </is>
      </c>
      <c r="L25" s="44">
        <f>IFERROR(COUNTIF(tbl_Vehicles[CurrentStatus],"Available")/(COUNTA(tbl_Vehicles[VehicleID])-COUNTBLANK(tbl_Vehicles[VehicleID])),"—")</f>
        <v/>
      </c>
    </row>
    <row r="26">
      <c r="A26" s="25" t="inlineStr">
        <is>
          <t>Service Overdue</t>
        </is>
      </c>
      <c r="B26" s="44">
        <f>COUNTIFS(tbl_Vehicles[NextServiceDue],"&lt;"&amp;TODAY())</f>
        <v/>
      </c>
      <c r="C26" s="25" t="inlineStr">
        <is>
          <t>Total Fuel Used (L)</t>
        </is>
      </c>
      <c r="D26" s="44">
        <f>SUM(tbl_FuelLog[Litres])</f>
        <v/>
      </c>
      <c r="E26" s="25" t="inlineStr">
        <is>
          <t>Total Fuel Cost</t>
        </is>
      </c>
      <c r="F26" s="44">
        <f>SUM(tbl_FuelLog[Cost])</f>
        <v/>
      </c>
      <c r="G26" s="25" t="inlineStr">
        <is>
          <t>Total Trips</t>
        </is>
      </c>
      <c r="H26" s="44">
        <f>COUNTA(tbl_VehicleUsage[UsageID])-COUNTBLANK(tbl_VehicleUsage[UsageID])</f>
        <v/>
      </c>
      <c r="I26" s="25" t="inlineStr">
        <is>
          <t>Total Distance (km)</t>
        </is>
      </c>
      <c r="J26" s="44">
        <f>SUM(tbl_VehicleUsage[DistanceKm])</f>
        <v/>
      </c>
      <c r="K26" s="25" t="inlineStr">
        <is>
          <t>Active Drivers</t>
        </is>
      </c>
      <c r="L26" s="44">
        <f>COUNTIF(tbl_Drivers[Status],"Active")</f>
        <v/>
      </c>
    </row>
    <row r="29">
      <c r="A29" s="47" t="inlineStr">
        <is>
          <t>DEMAND REDUCTION</t>
        </is>
      </c>
    </row>
    <row r="30">
      <c r="A30" s="25" t="inlineStr">
        <is>
          <t>Lectures Delivered</t>
        </is>
      </c>
      <c r="B30" s="44">
        <f>COUNTA(tbl_DemandReduction[LectureID])-COUNTBLANK(tbl_DemandReduction[LectureID])</f>
        <v/>
      </c>
      <c r="C30" s="25" t="inlineStr">
        <is>
          <t>Total Attendance</t>
        </is>
      </c>
      <c r="D30" s="44">
        <f>SUM(tbl_DemandReduction[Attendance])</f>
        <v/>
      </c>
      <c r="E30" s="25" t="inlineStr">
        <is>
          <t>Avg Attendance/Session</t>
        </is>
      </c>
      <c r="F30" s="44">
        <f>IFERROR(AVERAGE(tbl_DemandReduction[Attendance]),"—")</f>
        <v/>
      </c>
      <c r="G30" s="25" t="inlineStr">
        <is>
          <t>Total Duration (hrs)</t>
        </is>
      </c>
      <c r="H30" s="44">
        <f>SUM(tbl_DemandReduction[Duration_Hrs])</f>
        <v/>
      </c>
      <c r="I30" s="25" t="inlineStr">
        <is>
          <t>Sessions w/ Follow-Up</t>
        </is>
      </c>
      <c r="J30" s="44">
        <f>COUNTIF(tbl_DemandReduction[FollowUpPlanned],"Yes")</f>
        <v/>
      </c>
      <c r="K30" s="25" t="inlineStr">
        <is>
          <t>Unique Parishes</t>
        </is>
      </c>
      <c r="L30" s="44">
        <f>IFERROR(SUMPRODUCT(1/COUNTIF(tbl_DemandReduction[Parish],tbl_DemandReduction[Parish])),"—")</f>
        <v/>
      </c>
    </row>
  </sheetData>
  <mergeCells count="8">
    <mergeCell ref="A24:L24"/>
    <mergeCell ref="A2:L2"/>
    <mergeCell ref="A29:L29"/>
    <mergeCell ref="A19:L19"/>
    <mergeCell ref="A1:L1"/>
    <mergeCell ref="A14:L14"/>
    <mergeCell ref="A9:L9"/>
    <mergeCell ref="A4:L4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FFC000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FOCUSED CRIME SUPPRESSION INITIATIVE (FCSI) DASHBOARD</t>
        </is>
      </c>
    </row>
    <row r="2" ht="28" customHeight="1">
      <c r="A2" s="31" t="inlineStr">
        <is>
          <t>FNID Area 3 — FCSI Operations, Outcomes &amp; Trend Analysis</t>
        </is>
      </c>
    </row>
    <row r="4">
      <c r="A4" s="36" t="inlineStr">
        <is>
          <t>FCSI Ops Total</t>
        </is>
      </c>
      <c r="B4" s="36" t="inlineStr">
        <is>
          <t>FCSI Arrests</t>
        </is>
      </c>
      <c r="C4" s="36" t="inlineStr">
        <is>
          <t>FCSI Searches</t>
        </is>
      </c>
      <c r="D4" s="36" t="inlineStr">
        <is>
          <t>FCSI Firearms</t>
        </is>
      </c>
      <c r="E4" s="36" t="inlineStr">
        <is>
          <t>FCSI Ammo</t>
        </is>
      </c>
      <c r="F4" s="36" t="inlineStr">
        <is>
          <t>FCSI Narcotics (kg)</t>
        </is>
      </c>
      <c r="G4" s="36" t="inlineStr">
        <is>
          <t>FCSI Cash Seized</t>
        </is>
      </c>
      <c r="H4" s="36" t="inlineStr">
        <is>
          <t>Positive Outcome %</t>
        </is>
      </c>
    </row>
    <row r="5">
      <c r="A5" s="48">
        <f>COUNTIF(tbl_Operations[FCSI_Flag],"Yes")</f>
        <v/>
      </c>
      <c r="B5" s="48">
        <f>SUMIFS(tbl_Operations[Arrests],tbl_Operations[FCSI_Flag],"Yes")</f>
        <v/>
      </c>
      <c r="C5" s="48">
        <f>SUMIFS(tbl_Operations[Searches],tbl_Operations[FCSI_Flag],"Yes")</f>
        <v/>
      </c>
      <c r="D5" s="48">
        <f>SUMIFS(tbl_Operations[FirearmsSeized],tbl_Operations[FCSI_Flag],"Yes")</f>
        <v/>
      </c>
      <c r="E5" s="48">
        <f>SUMIFS(tbl_Operations[AmmunitionSeized],tbl_Operations[FCSI_Flag],"Yes")</f>
        <v/>
      </c>
      <c r="F5" s="48">
        <f>SUMIFS(tbl_Operations[NarcoticsSeized_kg],tbl_Operations[FCSI_Flag],"Yes")</f>
        <v/>
      </c>
      <c r="G5" s="48">
        <f>SUMIFS(tbl_Operations[CashSeized],tbl_Operations[FCSI_Flag],"Yes")</f>
        <v/>
      </c>
      <c r="H5" s="48">
        <f>IFERROR(COUNTIFS(tbl_Operations[FCSI_Flag],"Yes",tbl_Operations[Arrests],"&gt;"&amp;0)/COUNTIF(tbl_Operations[FCSI_Flag],"Yes"),"—")</f>
        <v/>
      </c>
    </row>
    <row r="7">
      <c r="A7" s="49" t="inlineStr">
        <is>
          <t>FCSI BREAKDOWN BY OPERATION TYPE</t>
        </is>
      </c>
    </row>
    <row r="8">
      <c r="A8" s="21" t="inlineStr">
        <is>
          <t>Op Type</t>
        </is>
      </c>
      <c r="B8" s="21" t="inlineStr">
        <is>
          <t>Count</t>
        </is>
      </c>
      <c r="C8" s="21" t="inlineStr">
        <is>
          <t>Arrests</t>
        </is>
      </c>
      <c r="D8" s="21" t="inlineStr">
        <is>
          <t>Firearms</t>
        </is>
      </c>
      <c r="E8" s="21" t="inlineStr">
        <is>
          <t>Ammo</t>
        </is>
      </c>
      <c r="F8" s="21" t="inlineStr">
        <is>
          <t>Narcotics(kg)</t>
        </is>
      </c>
    </row>
    <row r="9">
      <c r="A9" s="22" t="inlineStr">
        <is>
          <t>Search Warrant</t>
        </is>
      </c>
      <c r="B9" s="22">
        <f>COUNTIFS(tbl_Operations[OpsType],"Search Warrant",tbl_Operations[FCSI_Flag],"Yes")</f>
        <v/>
      </c>
      <c r="C9" s="22">
        <f>SUMIFS(tbl_Operations[Arrests],tbl_Operations[OpsType],"Search Warrant",tbl_Operations[FCSI_Flag],"Yes")</f>
        <v/>
      </c>
      <c r="D9" s="22">
        <f>SUMIFS(tbl_Operations[FirearmsSeized],tbl_Operations[OpsType],"Search Warrant",tbl_Operations[FCSI_Flag],"Yes")</f>
        <v/>
      </c>
      <c r="E9" s="22">
        <f>SUMIFS(tbl_Operations[AmmunitionSeized],tbl_Operations[OpsType],"Search Warrant",tbl_Operations[FCSI_Flag],"Yes")</f>
        <v/>
      </c>
      <c r="F9" s="22">
        <f>SUMIFS(tbl_Operations[NarcoticsSeized_kg],tbl_Operations[OpsType],"Search Warrant",tbl_Operations[FCSI_Flag],"Yes")</f>
        <v/>
      </c>
    </row>
    <row r="10">
      <c r="A10" s="22" t="inlineStr">
        <is>
          <t>Patrol</t>
        </is>
      </c>
      <c r="B10" s="22">
        <f>COUNTIFS(tbl_Operations[OpsType],"Patrol",tbl_Operations[FCSI_Flag],"Yes")</f>
        <v/>
      </c>
      <c r="C10" s="22">
        <f>SUMIFS(tbl_Operations[Arrests],tbl_Operations[OpsType],"Patrol",tbl_Operations[FCSI_Flag],"Yes")</f>
        <v/>
      </c>
      <c r="D10" s="22">
        <f>SUMIFS(tbl_Operations[FirearmsSeized],tbl_Operations[OpsType],"Patrol",tbl_Operations[FCSI_Flag],"Yes")</f>
        <v/>
      </c>
      <c r="E10" s="22">
        <f>SUMIFS(tbl_Operations[AmmunitionSeized],tbl_Operations[OpsType],"Patrol",tbl_Operations[FCSI_Flag],"Yes")</f>
        <v/>
      </c>
      <c r="F10" s="22">
        <f>SUMIFS(tbl_Operations[NarcoticsSeized_kg],tbl_Operations[OpsType],"Patrol",tbl_Operations[FCSI_Flag],"Yes")</f>
        <v/>
      </c>
    </row>
    <row r="11">
      <c r="A11" s="22" t="inlineStr">
        <is>
          <t>Checkpoint</t>
        </is>
      </c>
      <c r="B11" s="22">
        <f>COUNTIFS(tbl_Operations[OpsType],"Checkpoint",tbl_Operations[FCSI_Flag],"Yes")</f>
        <v/>
      </c>
      <c r="C11" s="22">
        <f>SUMIFS(tbl_Operations[Arrests],tbl_Operations[OpsType],"Checkpoint",tbl_Operations[FCSI_Flag],"Yes")</f>
        <v/>
      </c>
      <c r="D11" s="22">
        <f>SUMIFS(tbl_Operations[FirearmsSeized],tbl_Operations[OpsType],"Checkpoint",tbl_Operations[FCSI_Flag],"Yes")</f>
        <v/>
      </c>
      <c r="E11" s="22">
        <f>SUMIFS(tbl_Operations[AmmunitionSeized],tbl_Operations[OpsType],"Checkpoint",tbl_Operations[FCSI_Flag],"Yes")</f>
        <v/>
      </c>
      <c r="F11" s="22">
        <f>SUMIFS(tbl_Operations[NarcoticsSeized_kg],tbl_Operations[OpsType],"Checkpoint",tbl_Operations[FCSI_Flag],"Yes")</f>
        <v/>
      </c>
    </row>
    <row r="12">
      <c r="A12" s="22" t="inlineStr">
        <is>
          <t>Surveillance</t>
        </is>
      </c>
      <c r="B12" s="22">
        <f>COUNTIFS(tbl_Operations[OpsType],"Surveillance",tbl_Operations[FCSI_Flag],"Yes")</f>
        <v/>
      </c>
      <c r="C12" s="22">
        <f>SUMIFS(tbl_Operations[Arrests],tbl_Operations[OpsType],"Surveillance",tbl_Operations[FCSI_Flag],"Yes")</f>
        <v/>
      </c>
      <c r="D12" s="22">
        <f>SUMIFS(tbl_Operations[FirearmsSeized],tbl_Operations[OpsType],"Surveillance",tbl_Operations[FCSI_Flag],"Yes")</f>
        <v/>
      </c>
      <c r="E12" s="22">
        <f>SUMIFS(tbl_Operations[AmmunitionSeized],tbl_Operations[OpsType],"Surveillance",tbl_Operations[FCSI_Flag],"Yes")</f>
        <v/>
      </c>
      <c r="F12" s="22">
        <f>SUMIFS(tbl_Operations[NarcoticsSeized_kg],tbl_Operations[OpsType],"Surveillance",tbl_Operations[FCSI_Flag],"Yes")</f>
        <v/>
      </c>
    </row>
    <row r="13">
      <c r="A13" s="22" t="inlineStr">
        <is>
          <t>Raid</t>
        </is>
      </c>
      <c r="B13" s="22">
        <f>COUNTIFS(tbl_Operations[OpsType],"Raid",tbl_Operations[FCSI_Flag],"Yes")</f>
        <v/>
      </c>
      <c r="C13" s="22">
        <f>SUMIFS(tbl_Operations[Arrests],tbl_Operations[OpsType],"Raid",tbl_Operations[FCSI_Flag],"Yes")</f>
        <v/>
      </c>
      <c r="D13" s="22">
        <f>SUMIFS(tbl_Operations[FirearmsSeized],tbl_Operations[OpsType],"Raid",tbl_Operations[FCSI_Flag],"Yes")</f>
        <v/>
      </c>
      <c r="E13" s="22">
        <f>SUMIFS(tbl_Operations[AmmunitionSeized],tbl_Operations[OpsType],"Raid",tbl_Operations[FCSI_Flag],"Yes")</f>
        <v/>
      </c>
      <c r="F13" s="22">
        <f>SUMIFS(tbl_Operations[NarcoticsSeized_kg],tbl_Operations[OpsType],"Raid",tbl_Operations[FCSI_Flag],"Yes")</f>
        <v/>
      </c>
    </row>
    <row r="14">
      <c r="A14" s="22" t="inlineStr">
        <is>
          <t>Arrest Operation</t>
        </is>
      </c>
      <c r="B14" s="22">
        <f>COUNTIFS(tbl_Operations[OpsType],"Arrest Operation",tbl_Operations[FCSI_Flag],"Yes")</f>
        <v/>
      </c>
      <c r="C14" s="22">
        <f>SUMIFS(tbl_Operations[Arrests],tbl_Operations[OpsType],"Arrest Operation",tbl_Operations[FCSI_Flag],"Yes")</f>
        <v/>
      </c>
      <c r="D14" s="22">
        <f>SUMIFS(tbl_Operations[FirearmsSeized],tbl_Operations[OpsType],"Arrest Operation",tbl_Operations[FCSI_Flag],"Yes")</f>
        <v/>
      </c>
      <c r="E14" s="22">
        <f>SUMIFS(tbl_Operations[AmmunitionSeized],tbl_Operations[OpsType],"Arrest Operation",tbl_Operations[FCSI_Flag],"Yes")</f>
        <v/>
      </c>
      <c r="F14" s="22">
        <f>SUMIFS(tbl_Operations[NarcoticsSeized_kg],tbl_Operations[OpsType],"Arrest Operation",tbl_Operations[FCSI_Flag],"Yes")</f>
        <v/>
      </c>
    </row>
    <row r="15">
      <c r="A15" s="22" t="inlineStr">
        <is>
          <t>Joint Operation</t>
        </is>
      </c>
      <c r="B15" s="22">
        <f>COUNTIFS(tbl_Operations[OpsType],"Joint Operation",tbl_Operations[FCSI_Flag],"Yes")</f>
        <v/>
      </c>
      <c r="C15" s="22">
        <f>SUMIFS(tbl_Operations[Arrests],tbl_Operations[OpsType],"Joint Operation",tbl_Operations[FCSI_Flag],"Yes")</f>
        <v/>
      </c>
      <c r="D15" s="22">
        <f>SUMIFS(tbl_Operations[FirearmsSeized],tbl_Operations[OpsType],"Joint Operation",tbl_Operations[FCSI_Flag],"Yes")</f>
        <v/>
      </c>
      <c r="E15" s="22">
        <f>SUMIFS(tbl_Operations[AmmunitionSeized],tbl_Operations[OpsType],"Joint Operation",tbl_Operations[FCSI_Flag],"Yes")</f>
        <v/>
      </c>
      <c r="F15" s="22">
        <f>SUMIFS(tbl_Operations[NarcoticsSeized_kg],tbl_Operations[OpsType],"Joint Operation",tbl_Operations[FCSI_Flag],"Yes")</f>
        <v/>
      </c>
    </row>
    <row r="16">
      <c r="A16" s="22" t="inlineStr">
        <is>
          <t>FCSI Operation</t>
        </is>
      </c>
      <c r="B16" s="22">
        <f>COUNTIFS(tbl_Operations[OpsType],"FCSI Operation",tbl_Operations[FCSI_Flag],"Yes")</f>
        <v/>
      </c>
      <c r="C16" s="22">
        <f>SUMIFS(tbl_Operations[Arrests],tbl_Operations[OpsType],"FCSI Operation",tbl_Operations[FCSI_Flag],"Yes")</f>
        <v/>
      </c>
      <c r="D16" s="22">
        <f>SUMIFS(tbl_Operations[FirearmsSeized],tbl_Operations[OpsType],"FCSI Operation",tbl_Operations[FCSI_Flag],"Yes")</f>
        <v/>
      </c>
      <c r="E16" s="22">
        <f>SUMIFS(tbl_Operations[AmmunitionSeized],tbl_Operations[OpsType],"FCSI Operation",tbl_Operations[FCSI_Flag],"Yes")</f>
        <v/>
      </c>
      <c r="F16" s="22">
        <f>SUMIFS(tbl_Operations[NarcoticsSeized_kg],tbl_Operations[OpsType],"FCSI Operation",tbl_Operations[FCSI_Flag],"Yes")</f>
        <v/>
      </c>
    </row>
    <row r="18">
      <c r="A18" s="49" t="inlineStr">
        <is>
          <t>FCSI BREAKDOWN BY PARISH</t>
        </is>
      </c>
    </row>
    <row r="19">
      <c r="A19" s="21" t="inlineStr">
        <is>
          <t>Parish</t>
        </is>
      </c>
      <c r="B19" s="21" t="inlineStr">
        <is>
          <t>FCSI Ops</t>
        </is>
      </c>
      <c r="C19" s="21" t="inlineStr">
        <is>
          <t>Arrests</t>
        </is>
      </c>
      <c r="D19" s="21" t="inlineStr">
        <is>
          <t>Firearms</t>
        </is>
      </c>
      <c r="E19" s="21" t="inlineStr">
        <is>
          <t>Narcotics(kg)</t>
        </is>
      </c>
    </row>
    <row r="20">
      <c r="A20" s="22" t="inlineStr">
        <is>
          <t>Kingston</t>
        </is>
      </c>
      <c r="B20" s="22">
        <f>COUNTIFS(tbl_Operations[Parish],"Kingston",tbl_Operations[FCSI_Flag],"Yes")</f>
        <v/>
      </c>
      <c r="C20" s="22">
        <f>SUMIFS(tbl_Operations[Arrests],tbl_Operations[Parish],"Kingston",tbl_Operations[FCSI_Flag],"Yes")</f>
        <v/>
      </c>
      <c r="D20" s="22">
        <f>SUMIFS(tbl_Operations[FirearmsSeized],tbl_Operations[Parish],"Kingston",tbl_Operations[FCSI_Flag],"Yes")</f>
        <v/>
      </c>
      <c r="E20" s="22">
        <f>SUMIFS(tbl_Operations[NarcoticsSeized_kg],tbl_Operations[Parish],"Kingston",tbl_Operations[FCSI_Flag],"Yes")</f>
        <v/>
      </c>
    </row>
    <row r="21">
      <c r="A21" s="22" t="inlineStr">
        <is>
          <t>St. Andrew</t>
        </is>
      </c>
      <c r="B21" s="22">
        <f>COUNTIFS(tbl_Operations[Parish],"St. Andrew",tbl_Operations[FCSI_Flag],"Yes")</f>
        <v/>
      </c>
      <c r="C21" s="22">
        <f>SUMIFS(tbl_Operations[Arrests],tbl_Operations[Parish],"St. Andrew",tbl_Operations[FCSI_Flag],"Yes")</f>
        <v/>
      </c>
      <c r="D21" s="22">
        <f>SUMIFS(tbl_Operations[FirearmsSeized],tbl_Operations[Parish],"St. Andrew",tbl_Operations[FCSI_Flag],"Yes")</f>
        <v/>
      </c>
      <c r="E21" s="22">
        <f>SUMIFS(tbl_Operations[NarcoticsSeized_kg],tbl_Operations[Parish],"St. Andrew",tbl_Operations[FCSI_Flag],"Yes")</f>
        <v/>
      </c>
    </row>
    <row r="22">
      <c r="A22" s="22" t="inlineStr">
        <is>
          <t>St. Catherine</t>
        </is>
      </c>
      <c r="B22" s="22">
        <f>COUNTIFS(tbl_Operations[Parish],"St. Catherine",tbl_Operations[FCSI_Flag],"Yes")</f>
        <v/>
      </c>
      <c r="C22" s="22">
        <f>SUMIFS(tbl_Operations[Arrests],tbl_Operations[Parish],"St. Catherine",tbl_Operations[FCSI_Flag],"Yes")</f>
        <v/>
      </c>
      <c r="D22" s="22">
        <f>SUMIFS(tbl_Operations[FirearmsSeized],tbl_Operations[Parish],"St. Catherine",tbl_Operations[FCSI_Flag],"Yes")</f>
        <v/>
      </c>
      <c r="E22" s="22">
        <f>SUMIFS(tbl_Operations[NarcoticsSeized_kg],tbl_Operations[Parish],"St. Catherine",tbl_Operations[FCSI_Flag],"Yes")</f>
        <v/>
      </c>
    </row>
    <row r="23">
      <c r="A23" s="22" t="inlineStr">
        <is>
          <t>Clarendon</t>
        </is>
      </c>
      <c r="B23" s="22">
        <f>COUNTIFS(tbl_Operations[Parish],"Clarendon",tbl_Operations[FCSI_Flag],"Yes")</f>
        <v/>
      </c>
      <c r="C23" s="22">
        <f>SUMIFS(tbl_Operations[Arrests],tbl_Operations[Parish],"Clarendon",tbl_Operations[FCSI_Flag],"Yes")</f>
        <v/>
      </c>
      <c r="D23" s="22">
        <f>SUMIFS(tbl_Operations[FirearmsSeized],tbl_Operations[Parish],"Clarendon",tbl_Operations[FCSI_Flag],"Yes")</f>
        <v/>
      </c>
      <c r="E23" s="22">
        <f>SUMIFS(tbl_Operations[NarcoticsSeized_kg],tbl_Operations[Parish],"Clarendon",tbl_Operations[FCSI_Flag],"Yes")</f>
        <v/>
      </c>
    </row>
    <row r="24">
      <c r="A24" s="22" t="inlineStr">
        <is>
          <t>Manchester</t>
        </is>
      </c>
      <c r="B24" s="22">
        <f>COUNTIFS(tbl_Operations[Parish],"Manchester",tbl_Operations[FCSI_Flag],"Yes")</f>
        <v/>
      </c>
      <c r="C24" s="22">
        <f>SUMIFS(tbl_Operations[Arrests],tbl_Operations[Parish],"Manchester",tbl_Operations[FCSI_Flag],"Yes")</f>
        <v/>
      </c>
      <c r="D24" s="22">
        <f>SUMIFS(tbl_Operations[FirearmsSeized],tbl_Operations[Parish],"Manchester",tbl_Operations[FCSI_Flag],"Yes")</f>
        <v/>
      </c>
      <c r="E24" s="22">
        <f>SUMIFS(tbl_Operations[NarcoticsSeized_kg],tbl_Operations[Parish],"Manchester",tbl_Operations[FCSI_Flag],"Yes")</f>
        <v/>
      </c>
    </row>
    <row r="25">
      <c r="A25" s="22" t="inlineStr">
        <is>
          <t>St. Elizabeth</t>
        </is>
      </c>
      <c r="B25" s="22">
        <f>COUNTIFS(tbl_Operations[Parish],"St. Elizabeth",tbl_Operations[FCSI_Flag],"Yes")</f>
        <v/>
      </c>
      <c r="C25" s="22">
        <f>SUMIFS(tbl_Operations[Arrests],tbl_Operations[Parish],"St. Elizabeth",tbl_Operations[FCSI_Flag],"Yes")</f>
        <v/>
      </c>
      <c r="D25" s="22">
        <f>SUMIFS(tbl_Operations[FirearmsSeized],tbl_Operations[Parish],"St. Elizabeth",tbl_Operations[FCSI_Flag],"Yes")</f>
        <v/>
      </c>
      <c r="E25" s="22">
        <f>SUMIFS(tbl_Operations[NarcoticsSeized_kg],tbl_Operations[Parish],"St. Elizabeth",tbl_Operations[FCSI_Flag],"Yes")</f>
        <v/>
      </c>
    </row>
    <row r="26">
      <c r="A26" s="22" t="inlineStr">
        <is>
          <t>Westmoreland</t>
        </is>
      </c>
      <c r="B26" s="22">
        <f>COUNTIFS(tbl_Operations[Parish],"Westmoreland",tbl_Operations[FCSI_Flag],"Yes")</f>
        <v/>
      </c>
      <c r="C26" s="22">
        <f>SUMIFS(tbl_Operations[Arrests],tbl_Operations[Parish],"Westmoreland",tbl_Operations[FCSI_Flag],"Yes")</f>
        <v/>
      </c>
      <c r="D26" s="22">
        <f>SUMIFS(tbl_Operations[FirearmsSeized],tbl_Operations[Parish],"Westmoreland",tbl_Operations[FCSI_Flag],"Yes")</f>
        <v/>
      </c>
      <c r="E26" s="22">
        <f>SUMIFS(tbl_Operations[NarcoticsSeized_kg],tbl_Operations[Parish],"Westmoreland",tbl_Operations[FCSI_Flag],"Yes")</f>
        <v/>
      </c>
    </row>
    <row r="27">
      <c r="A27" s="22" t="inlineStr">
        <is>
          <t>Hanover</t>
        </is>
      </c>
      <c r="B27" s="22">
        <f>COUNTIFS(tbl_Operations[Parish],"Hanover",tbl_Operations[FCSI_Flag],"Yes")</f>
        <v/>
      </c>
      <c r="C27" s="22">
        <f>SUMIFS(tbl_Operations[Arrests],tbl_Operations[Parish],"Hanover",tbl_Operations[FCSI_Flag],"Yes")</f>
        <v/>
      </c>
      <c r="D27" s="22">
        <f>SUMIFS(tbl_Operations[FirearmsSeized],tbl_Operations[Parish],"Hanover",tbl_Operations[FCSI_Flag],"Yes")</f>
        <v/>
      </c>
      <c r="E27" s="22">
        <f>SUMIFS(tbl_Operations[NarcoticsSeized_kg],tbl_Operations[Parish],"Hanover",tbl_Operations[FCSI_Flag],"Yes")</f>
        <v/>
      </c>
    </row>
    <row r="28">
      <c r="A28" s="22" t="inlineStr">
        <is>
          <t>St. James</t>
        </is>
      </c>
      <c r="B28" s="22">
        <f>COUNTIFS(tbl_Operations[Parish],"St. James",tbl_Operations[FCSI_Flag],"Yes")</f>
        <v/>
      </c>
      <c r="C28" s="22">
        <f>SUMIFS(tbl_Operations[Arrests],tbl_Operations[Parish],"St. James",tbl_Operations[FCSI_Flag],"Yes")</f>
        <v/>
      </c>
      <c r="D28" s="22">
        <f>SUMIFS(tbl_Operations[FirearmsSeized],tbl_Operations[Parish],"St. James",tbl_Operations[FCSI_Flag],"Yes")</f>
        <v/>
      </c>
      <c r="E28" s="22">
        <f>SUMIFS(tbl_Operations[NarcoticsSeized_kg],tbl_Operations[Parish],"St. James",tbl_Operations[FCSI_Flag],"Yes")</f>
        <v/>
      </c>
    </row>
    <row r="29">
      <c r="A29" s="22" t="inlineStr">
        <is>
          <t>Trelawny</t>
        </is>
      </c>
      <c r="B29" s="22">
        <f>COUNTIFS(tbl_Operations[Parish],"Trelawny",tbl_Operations[FCSI_Flag],"Yes")</f>
        <v/>
      </c>
      <c r="C29" s="22">
        <f>SUMIFS(tbl_Operations[Arrests],tbl_Operations[Parish],"Trelawny",tbl_Operations[FCSI_Flag],"Yes")</f>
        <v/>
      </c>
      <c r="D29" s="22">
        <f>SUMIFS(tbl_Operations[FirearmsSeized],tbl_Operations[Parish],"Trelawny",tbl_Operations[FCSI_Flag],"Yes")</f>
        <v/>
      </c>
      <c r="E29" s="22">
        <f>SUMIFS(tbl_Operations[NarcoticsSeized_kg],tbl_Operations[Parish],"Trelawny",tbl_Operations[FCSI_Flag],"Yes")</f>
        <v/>
      </c>
    </row>
    <row r="30">
      <c r="A30" s="22" t="inlineStr">
        <is>
          <t>St. Ann</t>
        </is>
      </c>
      <c r="B30" s="22">
        <f>COUNTIFS(tbl_Operations[Parish],"St. Ann",tbl_Operations[FCSI_Flag],"Yes")</f>
        <v/>
      </c>
      <c r="C30" s="22">
        <f>SUMIFS(tbl_Operations[Arrests],tbl_Operations[Parish],"St. Ann",tbl_Operations[FCSI_Flag],"Yes")</f>
        <v/>
      </c>
      <c r="D30" s="22">
        <f>SUMIFS(tbl_Operations[FirearmsSeized],tbl_Operations[Parish],"St. Ann",tbl_Operations[FCSI_Flag],"Yes")</f>
        <v/>
      </c>
      <c r="E30" s="22">
        <f>SUMIFS(tbl_Operations[NarcoticsSeized_kg],tbl_Operations[Parish],"St. Ann",tbl_Operations[FCSI_Flag],"Yes")</f>
        <v/>
      </c>
    </row>
    <row r="31">
      <c r="A31" s="22" t="inlineStr">
        <is>
          <t>St. Mary</t>
        </is>
      </c>
      <c r="B31" s="22">
        <f>COUNTIFS(tbl_Operations[Parish],"St. Mary",tbl_Operations[FCSI_Flag],"Yes")</f>
        <v/>
      </c>
      <c r="C31" s="22">
        <f>SUMIFS(tbl_Operations[Arrests],tbl_Operations[Parish],"St. Mary",tbl_Operations[FCSI_Flag],"Yes")</f>
        <v/>
      </c>
      <c r="D31" s="22">
        <f>SUMIFS(tbl_Operations[FirearmsSeized],tbl_Operations[Parish],"St. Mary",tbl_Operations[FCSI_Flag],"Yes")</f>
        <v/>
      </c>
      <c r="E31" s="22">
        <f>SUMIFS(tbl_Operations[NarcoticsSeized_kg],tbl_Operations[Parish],"St. Mary",tbl_Operations[FCSI_Flag],"Yes")</f>
        <v/>
      </c>
    </row>
    <row r="32">
      <c r="A32" s="22" t="inlineStr">
        <is>
          <t>Portland</t>
        </is>
      </c>
      <c r="B32" s="22">
        <f>COUNTIFS(tbl_Operations[Parish],"Portland",tbl_Operations[FCSI_Flag],"Yes")</f>
        <v/>
      </c>
      <c r="C32" s="22">
        <f>SUMIFS(tbl_Operations[Arrests],tbl_Operations[Parish],"Portland",tbl_Operations[FCSI_Flag],"Yes")</f>
        <v/>
      </c>
      <c r="D32" s="22">
        <f>SUMIFS(tbl_Operations[FirearmsSeized],tbl_Operations[Parish],"Portland",tbl_Operations[FCSI_Flag],"Yes")</f>
        <v/>
      </c>
      <c r="E32" s="22">
        <f>SUMIFS(tbl_Operations[NarcoticsSeized_kg],tbl_Operations[Parish],"Portland",tbl_Operations[FCSI_Flag],"Yes")</f>
        <v/>
      </c>
    </row>
    <row r="33">
      <c r="A33" s="22" t="inlineStr">
        <is>
          <t>St. Thomas</t>
        </is>
      </c>
      <c r="B33" s="22">
        <f>COUNTIFS(tbl_Operations[Parish],"St. Thomas",tbl_Operations[FCSI_Flag],"Yes")</f>
        <v/>
      </c>
      <c r="C33" s="22">
        <f>SUMIFS(tbl_Operations[Arrests],tbl_Operations[Parish],"St. Thomas",tbl_Operations[FCSI_Flag],"Yes")</f>
        <v/>
      </c>
      <c r="D33" s="22">
        <f>SUMIFS(tbl_Operations[FirearmsSeized],tbl_Operations[Parish],"St. Thomas",tbl_Operations[FCSI_Flag],"Yes")</f>
        <v/>
      </c>
      <c r="E33" s="22">
        <f>SUMIFS(tbl_Operations[NarcoticsSeized_kg],tbl_Operations[Parish],"St. Thomas",tbl_Operations[FCSI_Flag],"Yes")</f>
        <v/>
      </c>
    </row>
  </sheetData>
  <mergeCells count="4">
    <mergeCell ref="A7:H7"/>
    <mergeCell ref="A2:L2"/>
    <mergeCell ref="A1:L1"/>
    <mergeCell ref="A18:H1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REGISTRY UNIT DASHBOARD</t>
        </is>
      </c>
    </row>
    <row r="2" ht="28" customHeight="1">
      <c r="A2" s="31" t="inlineStr">
        <is>
          <t>Case Intake, CR Compliance &amp; Processing Metrics</t>
        </is>
      </c>
    </row>
    <row r="4">
      <c r="A4" s="50" t="inlineStr">
        <is>
          <t>Cases This Month</t>
        </is>
      </c>
      <c r="B4" s="50" t="inlineStr">
        <is>
          <t>Open Cases</t>
        </is>
      </c>
      <c r="C4" s="50" t="inlineStr">
        <is>
          <t>Overdue Actions</t>
        </is>
      </c>
      <c r="D4" s="50" t="inlineStr">
        <is>
          <t>CR1 Compliance %</t>
        </is>
      </c>
      <c r="E4" s="50" t="inlineStr">
        <is>
          <t>CR2 Compliance %</t>
        </is>
      </c>
      <c r="F4" s="50" t="inlineStr">
        <is>
          <t>CR5 Compliance %</t>
        </is>
      </c>
      <c r="G4" s="50" t="inlineStr">
        <is>
          <t>Non-Compliant Cases</t>
        </is>
      </c>
      <c r="H4" s="50" t="inlineStr">
        <is>
          <t>Radio Messages</t>
        </is>
      </c>
    </row>
    <row r="5">
      <c r="A5" s="26">
        <f>COUNTIFS(tbl_Cases[Month],MONTH(TODAY()),tbl_Cases[Year],YEAR(TODAY()))</f>
        <v/>
      </c>
      <c r="B5" s="26">
        <f>COUNTIF(tbl_Cases[CaseStatus],"Open")</f>
        <v/>
      </c>
      <c r="C5" s="26">
        <f>COUNTIFS(tbl_Actions[DueDate],"&lt;"&amp;TODAY(),tbl_Actions[CompletedDate],"")</f>
        <v/>
      </c>
      <c r="D5" s="26">
        <f>IFERROR(COUNTIF(tbl_Cases[CR1_Compliant],"Yes")/COUNTA(tbl_Cases[CR1_Compliant]),"—")</f>
        <v/>
      </c>
      <c r="E5" s="26">
        <f>IFERROR(COUNTIF(tbl_Cases[CR2_Compliant],"Yes")/COUNTA(tbl_Cases[CR2_Compliant]),"—")</f>
        <v/>
      </c>
      <c r="F5" s="26">
        <f>IFERROR(COUNTIF(tbl_Cases[CR5_Compliant],"Yes")/COUNTA(tbl_Cases[CR5_Compliant]),"—")</f>
        <v/>
      </c>
      <c r="G5" s="26">
        <f>COUNTIF(tbl_Cases[ComplianceFlag],"Non-Compliant")</f>
        <v/>
      </c>
      <c r="H5" s="26">
        <f>COUNTA(tbl_RadioMessages[MessageID])-COUNTBLANK(tbl_RadioMessages[MessageID])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INVESTIGATIONS UNIT DASHBOARD</t>
        </is>
      </c>
    </row>
    <row r="2" ht="28" customHeight="1">
      <c r="A2" s="31" t="inlineStr">
        <is>
          <t>Active Cases, Resolution Rates &amp; Review Status</t>
        </is>
      </c>
    </row>
    <row r="4">
      <c r="A4" s="50" t="inlineStr">
        <is>
          <t>Active Cases</t>
        </is>
      </c>
      <c r="B4" s="50" t="inlineStr">
        <is>
          <t>Cases Closed (YTD)</t>
        </is>
      </c>
      <c r="C4" s="50" t="inlineStr">
        <is>
          <t>Clearance Rate</t>
        </is>
      </c>
      <c r="D4" s="50" t="inlineStr">
        <is>
          <t>Pending Court</t>
        </is>
      </c>
      <c r="E4" s="50" t="inlineStr">
        <is>
          <t>Cold Cases</t>
        </is>
      </c>
      <c r="F4" s="50" t="inlineStr">
        <is>
          <t>Reviews Done</t>
        </is>
      </c>
      <c r="G4" s="50" t="inlineStr">
        <is>
          <t>Diary Entries</t>
        </is>
      </c>
      <c r="H4" s="50" t="inlineStr">
        <is>
          <t>Persons Tracked</t>
        </is>
      </c>
    </row>
    <row r="5">
      <c r="A5" s="26">
        <f>COUNTIF(tbl_Cases[CaseStatus],"Active")+COUNTIF(tbl_Cases[CaseStatus],"Under Investigation")</f>
        <v/>
      </c>
      <c r="B5" s="26">
        <f>COUNTIFS(tbl_Cases[CaseStatus],"Closed*",tbl_Cases[Year],YEAR(TODAY()))</f>
        <v/>
      </c>
      <c r="C5" s="26">
        <f>IFERROR(COUNTIFS(tbl_Cases[CaseStatus],"Closed*")/(COUNTA(tbl_Cases[CaseID])-COUNTBLANK(tbl_Cases[CaseID])),"—")</f>
        <v/>
      </c>
      <c r="D5" s="26">
        <f>COUNTIF(tbl_Cases[CaseStatus],"Pending Court")</f>
        <v/>
      </c>
      <c r="E5" s="26">
        <f>COUNTIF(tbl_Cases[CaseStatus],"Cold Case")</f>
        <v/>
      </c>
      <c r="F5" s="26">
        <f>COUNTA(tbl_Reviews[ReviewID])-COUNTBLANK(tbl_Reviews[ReviewID])</f>
        <v/>
      </c>
      <c r="G5" s="26">
        <f>COUNTA(tbl_DiaryEntries[DiaryID])-COUNTBLANK(tbl_DiaryEntries[DiaryID])</f>
        <v/>
      </c>
      <c r="H5" s="26">
        <f>COUNTA(tbl_Persons[PersonID])-COUNTBLANK(tbl_Persons[PersonID])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C000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OPERATIONS UNIT DASHBOARD</t>
        </is>
      </c>
    </row>
    <row r="2" ht="28" customHeight="1">
      <c r="A2" s="31" t="inlineStr">
        <is>
          <t>Operational Output, Seizures, FCSI &amp; Arrest Metrics</t>
        </is>
      </c>
    </row>
    <row r="4">
      <c r="A4" s="40" t="inlineStr">
        <is>
          <t>Ops This Month</t>
        </is>
      </c>
      <c r="B4" s="40" t="inlineStr">
        <is>
          <t>FCSI Ops</t>
        </is>
      </c>
      <c r="C4" s="40" t="inlineStr">
        <is>
          <t>Total Arrests</t>
        </is>
      </c>
      <c r="D4" s="40" t="inlineStr">
        <is>
          <t>Firearms Seized</t>
        </is>
      </c>
      <c r="E4" s="40" t="inlineStr">
        <is>
          <t>Ammo Seized</t>
        </is>
      </c>
      <c r="F4" s="40" t="inlineStr">
        <is>
          <t>Narcotics (kg)</t>
        </is>
      </c>
      <c r="G4" s="40" t="inlineStr">
        <is>
          <t>Cash Seized</t>
        </is>
      </c>
      <c r="H4" s="40" t="inlineStr">
        <is>
          <t>Warrants Executed</t>
        </is>
      </c>
    </row>
    <row r="5">
      <c r="A5" s="26">
        <f>COUNTIFS(tbl_Operations[Month],MONTH(TODAY()),tbl_Operations[Year],YEAR(TODAY()))</f>
        <v/>
      </c>
      <c r="B5" s="26">
        <f>COUNTIF(tbl_Operations[FCSI_Flag],"Yes")</f>
        <v/>
      </c>
      <c r="C5" s="26">
        <f>SUM(tbl_Operations[Arrests])</f>
        <v/>
      </c>
      <c r="D5" s="26">
        <f>SUM(tbl_Operations[FirearmsSeized])</f>
        <v/>
      </c>
      <c r="E5" s="26">
        <f>SUM(tbl_Operations[AmmunitionSeized])</f>
        <v/>
      </c>
      <c r="F5" s="26">
        <f>SUM(tbl_Operations[NarcoticsSeized_kg])</f>
        <v/>
      </c>
      <c r="G5" s="26">
        <f>SUM(tbl_Operations[CashSeized])</f>
        <v/>
      </c>
      <c r="H5" s="26">
        <f>COUNTIF(tbl_Operations[OpsType],"Search Warrant")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BF8F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INTELLIGENCE UNIT DASHBOARD</t>
        </is>
      </c>
    </row>
    <row r="2" ht="28" customHeight="1">
      <c r="A2" s="31" t="inlineStr">
        <is>
          <t>Lead Pipeline, Triage Rates &amp; Briefing Activity</t>
        </is>
      </c>
    </row>
    <row r="4">
      <c r="A4" s="34" t="inlineStr">
        <is>
          <t>Leads This Month</t>
        </is>
      </c>
      <c r="B4" s="34" t="inlineStr">
        <is>
          <t>Pending Triage</t>
        </is>
      </c>
      <c r="C4" s="34" t="inlineStr">
        <is>
          <t>High/Crit Leads</t>
        </is>
      </c>
      <c r="D4" s="34" t="inlineStr">
        <is>
          <t>Converted to Case</t>
        </is>
      </c>
      <c r="E4" s="34" t="inlineStr">
        <is>
          <t>Converted to Op</t>
        </is>
      </c>
      <c r="F4" s="34" t="inlineStr">
        <is>
          <t>Conversion Rate</t>
        </is>
      </c>
      <c r="G4" s="34" t="inlineStr">
        <is>
          <t>Briefings Given</t>
        </is>
      </c>
      <c r="H4" s="34" t="inlineStr">
        <is>
          <t>Follow-Ups Overdue</t>
        </is>
      </c>
    </row>
    <row r="5">
      <c r="A5" s="26">
        <f>COUNTIFS(tbl_Leads[Month],MONTH(TODAY()),tbl_Leads[Year],YEAR(TODAY()))</f>
        <v/>
      </c>
      <c r="B5" s="26">
        <f>COUNTBLANK(tbl_Leads[TriageDecision])</f>
        <v/>
      </c>
      <c r="C5" s="26">
        <f>COUNTIFS(tbl_Leads[Priority],"High")+COUNTIFS(tbl_Leads[Priority],"Critical")</f>
        <v/>
      </c>
      <c r="D5" s="26">
        <f>COUNTIF(tbl_Leads[Outcome],"Converted to Case")</f>
        <v/>
      </c>
      <c r="E5" s="26">
        <f>COUNTIF(tbl_Leads[Outcome],"Converted to Op")</f>
        <v/>
      </c>
      <c r="F5" s="26">
        <f>IFERROR((COUNTIF(tbl_Leads[Outcome],"Converted to Case")+COUNTIF(tbl_Leads[Outcome],"Converted to Op"))/(COUNTA(tbl_Leads[LeadID])-COUNTBLANK(tbl_Leads[LeadID])),"—")</f>
        <v/>
      </c>
      <c r="G5" s="26">
        <f>COUNTA(tbl_IntelBriefings[BriefingID])-COUNTBLANK(tbl_IntelBriefings[BriefingID])</f>
        <v/>
      </c>
      <c r="H5" s="26">
        <f>COUNTIFS(tbl_Leads[FollowUpDueDate],"&lt;"&amp;TODAY(),tbl_Leads[FollowUpRequired],"Yes")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002E75B6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TRANSPORT UNIT DASHBOARD</t>
        </is>
      </c>
    </row>
    <row r="2" ht="28" customHeight="1">
      <c r="A2" s="31" t="inlineStr">
        <is>
          <t>Fleet Status, Utilization, Fuel &amp; Maintenance</t>
        </is>
      </c>
    </row>
    <row r="4">
      <c r="A4" s="32" t="inlineStr">
        <is>
          <t>Total Fleet</t>
        </is>
      </c>
      <c r="B4" s="32" t="inlineStr">
        <is>
          <t>Available</t>
        </is>
      </c>
      <c r="C4" s="32" t="inlineStr">
        <is>
          <t>In Use</t>
        </is>
      </c>
      <c r="D4" s="32" t="inlineStr">
        <is>
          <t>Under Maintenance</t>
        </is>
      </c>
      <c r="E4" s="32" t="inlineStr">
        <is>
          <t>Availability %</t>
        </is>
      </c>
      <c r="F4" s="32" t="inlineStr">
        <is>
          <t>Service Overdue</t>
        </is>
      </c>
      <c r="G4" s="32" t="inlineStr">
        <is>
          <t>Total Fuel (L)</t>
        </is>
      </c>
      <c r="H4" s="32" t="inlineStr">
        <is>
          <t>Total Fuel Cost</t>
        </is>
      </c>
    </row>
    <row r="5">
      <c r="A5" s="26">
        <f>COUNTA(tbl_Vehicles[VehicleID])-COUNTBLANK(tbl_Vehicles[VehicleID])</f>
        <v/>
      </c>
      <c r="B5" s="26">
        <f>COUNTIF(tbl_Vehicles[CurrentStatus],"Available")</f>
        <v/>
      </c>
      <c r="C5" s="26">
        <f>COUNTIF(tbl_Vehicles[CurrentStatus],"In Use")</f>
        <v/>
      </c>
      <c r="D5" s="26">
        <f>COUNTIF(tbl_Vehicles[CurrentStatus],"Under Maintenance")</f>
        <v/>
      </c>
      <c r="E5" s="26">
        <f>IFERROR(COUNTIF(tbl_Vehicles[CurrentStatus],"Available")/(COUNTA(tbl_Vehicles[VehicleID])-COUNTBLANK(tbl_Vehicles[VehicleID])),"—")</f>
        <v/>
      </c>
      <c r="F5" s="26">
        <f>COUNTIFS(tbl_Vehicles[NextServiceDue],"&lt;"&amp;TODAY())</f>
        <v/>
      </c>
      <c r="G5" s="26">
        <f>SUM(tbl_FuelLog[Litres])</f>
        <v/>
      </c>
      <c r="H5" s="26">
        <f>SUM(tbl_FuelLog[Cost])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00538135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EVIDENCE &amp; FORENSICS DASHBOARD</t>
        </is>
      </c>
    </row>
    <row r="2" ht="28" customHeight="1">
      <c r="A2" s="31" t="inlineStr">
        <is>
          <t>Exhibit Status, Forensic Turnaround &amp; Court Readiness</t>
        </is>
      </c>
    </row>
    <row r="4">
      <c r="A4" s="37" t="inlineStr">
        <is>
          <t>Total Exhibits</t>
        </is>
      </c>
      <c r="B4" s="37" t="inlineStr">
        <is>
          <t>Pending</t>
        </is>
      </c>
      <c r="C4" s="37" t="inlineStr">
        <is>
          <t>Submitted</t>
        </is>
      </c>
      <c r="D4" s="37" t="inlineStr">
        <is>
          <t>In Progress</t>
        </is>
      </c>
      <c r="E4" s="37" t="inlineStr">
        <is>
          <t>Completed</t>
        </is>
      </c>
      <c r="F4" s="37" t="inlineStr">
        <is>
          <t>Court Ready</t>
        </is>
      </c>
      <c r="G4" s="37" t="inlineStr">
        <is>
          <t>Not Ready</t>
        </is>
      </c>
      <c r="H4" s="37" t="inlineStr">
        <is>
          <t>Avg Turnaround</t>
        </is>
      </c>
    </row>
    <row r="5">
      <c r="A5" s="26">
        <f>COUNTA(tbl_Exhibits[ExhibitID])-COUNTBLANK(tbl_Exhibits[ExhibitID])</f>
        <v/>
      </c>
      <c r="B5" s="26">
        <f>COUNTIF(tbl_Exhibits[AnalysisStatus],"Pending")</f>
        <v/>
      </c>
      <c r="C5" s="26">
        <f>COUNTIF(tbl_Exhibits[AnalysisStatus],"Submitted")</f>
        <v/>
      </c>
      <c r="D5" s="26">
        <f>COUNTIF(tbl_Exhibits[AnalysisStatus],"In Progress")</f>
        <v/>
      </c>
      <c r="E5" s="26">
        <f>COUNTIF(tbl_Exhibits[AnalysisStatus],"Completed")</f>
        <v/>
      </c>
      <c r="F5" s="26">
        <f>COUNTIF(tbl_Exhibits[CourtReadiness],"Ready")</f>
        <v/>
      </c>
      <c r="G5" s="26">
        <f>COUNTIF(tbl_Exhibits[CourtReadiness],"Not Ready")</f>
        <v/>
      </c>
      <c r="H5" s="26">
        <f>IFERROR(AVERAGE(tbl_Exhibits[TurnaroundDays]),"—")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00B05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DEMAND REDUCTION DASHBOARD</t>
        </is>
      </c>
    </row>
    <row r="2" ht="28" customHeight="1">
      <c r="A2" s="31" t="inlineStr">
        <is>
          <t>Community Outreach Sessions, Attendance &amp; Coverage</t>
        </is>
      </c>
    </row>
    <row r="4">
      <c r="A4" s="38" t="inlineStr">
        <is>
          <t>Sessions This Month</t>
        </is>
      </c>
      <c r="B4" s="38" t="inlineStr">
        <is>
          <t>Total Sessions</t>
        </is>
      </c>
      <c r="C4" s="38" t="inlineStr">
        <is>
          <t>Total Attendance</t>
        </is>
      </c>
      <c r="D4" s="38" t="inlineStr">
        <is>
          <t>Avg Attendance</t>
        </is>
      </c>
      <c r="E4" s="38" t="inlineStr">
        <is>
          <t>Total Hours</t>
        </is>
      </c>
      <c r="F4" s="38" t="inlineStr">
        <is>
          <t>Follow-Up Planned</t>
        </is>
      </c>
    </row>
    <row r="5">
      <c r="A5" s="26">
        <f>COUNTIFS(tbl_DemandReduction[Month],MONTH(TODAY()),tbl_DemandReduction[Year],YEAR(TODAY()))</f>
        <v/>
      </c>
      <c r="B5" s="26">
        <f>COUNTA(tbl_DemandReduction[LectureID])-COUNTBLANK(tbl_DemandReduction[LectureID])</f>
        <v/>
      </c>
      <c r="C5" s="26">
        <f>SUM(tbl_DemandReduction[Attendance])</f>
        <v/>
      </c>
      <c r="D5" s="26">
        <f>IFERROR(AVERAGE(tbl_DemandReduction[Attendance]),"—")</f>
        <v/>
      </c>
      <c r="E5" s="26">
        <f>SUM(tbl_DemandReduction[Duration_Hrs])</f>
        <v/>
      </c>
      <c r="F5" s="26">
        <f>COUNTIF(tbl_DemandReduction[FollowUpPlanned],"Yes")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FF00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OVERSIGHT &amp; COMPLIANCE DASHBOARD</t>
        </is>
      </c>
    </row>
    <row r="2" ht="28" customHeight="1">
      <c r="A2" s="31" t="inlineStr">
        <is>
          <t>Governance Alerts, Non-Conformities &amp; KPI Health</t>
        </is>
      </c>
    </row>
    <row r="4">
      <c r="A4" s="40" t="inlineStr">
        <is>
          <t>Overdue Actions</t>
        </is>
      </c>
      <c r="B4" s="40" t="inlineStr">
        <is>
          <t>Overdue Reviews</t>
        </is>
      </c>
      <c r="C4" s="40" t="inlineStr">
        <is>
          <t>Non-Compliant Cases</t>
        </is>
      </c>
      <c r="D4" s="40" t="inlineStr">
        <is>
          <t>Overdue Forensics</t>
        </is>
      </c>
      <c r="E4" s="40" t="inlineStr">
        <is>
          <t>KPIs On Track</t>
        </is>
      </c>
      <c r="F4" s="40" t="inlineStr">
        <is>
          <t>KPIs At Risk</t>
        </is>
      </c>
      <c r="G4" s="40" t="inlineStr">
        <is>
          <t>KPIs Off Track</t>
        </is>
      </c>
      <c r="H4" s="40" t="inlineStr">
        <is>
          <t>Service Overdue Vehicles</t>
        </is>
      </c>
    </row>
    <row r="5">
      <c r="A5" s="41">
        <f>COUNTIFS(tbl_Actions[DueDate],"&lt;"&amp;TODAY(),tbl_Actions[CompletedDate],"")</f>
        <v/>
      </c>
      <c r="B5" s="41">
        <f>COUNTIFS(tbl_Reviews[DueDate],"&lt;"&amp;TODAY(),tbl_Reviews[Status],"&lt;&gt;Completed")</f>
        <v/>
      </c>
      <c r="C5" s="41">
        <f>COUNTIF(tbl_Cases[ComplianceFlag],"Non-Compliant")</f>
        <v/>
      </c>
      <c r="D5" s="41">
        <f>COUNTIFS(tbl_Exhibits[ExpectedReturn],"&lt;"&amp;TODAY(),tbl_Exhibits[ActualReturnDate],"")</f>
        <v/>
      </c>
      <c r="E5" s="41">
        <f>COUNTIF(tbl_UnitPlans[TrafficLight_Monthly],"On Track")</f>
        <v/>
      </c>
      <c r="F5" s="41">
        <f>COUNTIF(tbl_UnitPlans[TrafficLight_Monthly],"At Risk")</f>
        <v/>
      </c>
      <c r="G5" s="41">
        <f>COUNTIF(tbl_UnitPlans[TrafficLight_Monthly],"Off Track")</f>
        <v/>
      </c>
      <c r="H5" s="41">
        <f>COUNTIFS(tbl_Vehicles[NextServiceDue],"&lt;"&amp;TODAY())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80808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51" t="inlineStr">
        <is>
          <t>JAMAICA CONSTABULARY FORCE — CR1 FORM</t>
        </is>
      </c>
    </row>
    <row r="2">
      <c r="A2" s="52" t="inlineStr">
        <is>
          <t>CRIME REPORT — INITIAL COMPLAINT</t>
        </is>
      </c>
    </row>
    <row r="4">
      <c r="A4" s="53" t="inlineStr">
        <is>
          <t>Case Reference No.:</t>
        </is>
      </c>
      <c r="B4" s="54" t="inlineStr"/>
    </row>
    <row r="5">
      <c r="A5" s="53" t="inlineStr">
        <is>
          <t>Date of Report:</t>
        </is>
      </c>
      <c r="B5" s="54" t="inlineStr"/>
    </row>
    <row r="6">
      <c r="A6" s="53" t="inlineStr">
        <is>
          <t>Time of Report:</t>
        </is>
      </c>
      <c r="B6" s="54" t="inlineStr"/>
    </row>
    <row r="7">
      <c r="A7" s="53" t="inlineStr">
        <is>
          <t>Station:</t>
        </is>
      </c>
      <c r="B7" s="54" t="inlineStr"/>
    </row>
    <row r="8">
      <c r="A8" s="53" t="inlineStr">
        <is>
          <t>Division:</t>
        </is>
      </c>
      <c r="B8" s="54" t="inlineStr">
        <is>
          <t>FNID Area 3</t>
        </is>
      </c>
    </row>
    <row r="9">
      <c r="A9" s="53" t="inlineStr">
        <is>
          <t>Reporting Officer:</t>
        </is>
      </c>
      <c r="B9" s="54" t="inlineStr"/>
    </row>
    <row r="10">
      <c r="A10" s="53" t="inlineStr">
        <is>
          <t>Rank:</t>
        </is>
      </c>
      <c r="B10" s="54" t="inlineStr"/>
    </row>
    <row r="11">
      <c r="A11" s="53" t="inlineStr">
        <is>
          <t>Badge No.:</t>
        </is>
      </c>
      <c r="B11" s="54" t="inlineStr"/>
    </row>
    <row r="13">
      <c r="A13" s="55" t="inlineStr">
        <is>
          <t>COMPLAINANT DETAILS</t>
        </is>
      </c>
    </row>
    <row r="14">
      <c r="A14" s="53" t="inlineStr">
        <is>
          <t>Full Name:</t>
        </is>
      </c>
      <c r="B14" s="54" t="inlineStr"/>
    </row>
    <row r="15">
      <c r="A15" s="53" t="inlineStr">
        <is>
          <t>Address:</t>
        </is>
      </c>
      <c r="B15" s="54" t="inlineStr"/>
    </row>
    <row r="16">
      <c r="A16" s="53" t="inlineStr">
        <is>
          <t>Phone:</t>
        </is>
      </c>
      <c r="B16" s="54" t="inlineStr"/>
    </row>
    <row r="17">
      <c r="A17" s="53" t="inlineStr">
        <is>
          <t>ID Type &amp; No.:</t>
        </is>
      </c>
      <c r="B17" s="54" t="inlineStr"/>
    </row>
    <row r="19">
      <c r="A19" s="55" t="inlineStr">
        <is>
          <t>OFFENCE DETAILS</t>
        </is>
      </c>
    </row>
    <row r="20">
      <c r="A20" s="53" t="inlineStr">
        <is>
          <t>Offence Type:</t>
        </is>
      </c>
      <c r="B20" s="54" t="inlineStr"/>
    </row>
    <row r="21">
      <c r="A21" s="53" t="inlineStr">
        <is>
          <t>Date of Offence:</t>
        </is>
      </c>
      <c r="B21" s="54" t="inlineStr"/>
    </row>
    <row r="22">
      <c r="A22" s="53" t="inlineStr">
        <is>
          <t>Time of Offence:</t>
        </is>
      </c>
      <c r="B22" s="54" t="inlineStr"/>
    </row>
    <row r="23">
      <c r="A23" s="53" t="inlineStr">
        <is>
          <t>Location of Offence:</t>
        </is>
      </c>
      <c r="B23" s="54" t="inlineStr"/>
    </row>
    <row r="24">
      <c r="A24" s="53" t="inlineStr">
        <is>
          <t>Parish:</t>
        </is>
      </c>
      <c r="B24" s="54" t="inlineStr"/>
    </row>
    <row r="26">
      <c r="A26" s="55" t="inlineStr">
        <is>
          <t>NARRATIVE / PARTICULARS</t>
        </is>
      </c>
    </row>
    <row r="33">
      <c r="A33" s="55" t="inlineStr">
        <is>
          <t>SUSPECT INFORMATION</t>
        </is>
      </c>
    </row>
    <row r="34">
      <c r="A34" s="53" t="inlineStr">
        <is>
          <t>Suspect Name:</t>
        </is>
      </c>
      <c r="B34" s="54" t="inlineStr"/>
    </row>
    <row r="35">
      <c r="A35" s="53" t="inlineStr">
        <is>
          <t>Alias:</t>
        </is>
      </c>
      <c r="B35" s="54" t="inlineStr"/>
    </row>
    <row r="36">
      <c r="A36" s="53" t="inlineStr">
        <is>
          <t>Description:</t>
        </is>
      </c>
      <c r="B36" s="54" t="inlineStr"/>
    </row>
    <row r="37">
      <c r="A37" s="53" t="inlineStr">
        <is>
          <t>Address:</t>
        </is>
      </c>
      <c r="B37" s="54" t="inlineStr"/>
    </row>
    <row r="39">
      <c r="A39" s="55" t="inlineStr">
        <is>
          <t>WITNESS INFORMATION</t>
        </is>
      </c>
    </row>
    <row r="40">
      <c r="A40" s="53" t="inlineStr">
        <is>
          <t>Witness 1:</t>
        </is>
      </c>
      <c r="B40" s="54" t="inlineStr"/>
    </row>
    <row r="41">
      <c r="A41" s="53" t="inlineStr">
        <is>
          <t>Witness 2:</t>
        </is>
      </c>
      <c r="B41" s="54" t="inlineStr"/>
    </row>
    <row r="43">
      <c r="A43" s="53" t="inlineStr">
        <is>
          <t>OFFICER SIGNATURE:</t>
        </is>
      </c>
      <c r="B43" s="54" t="inlineStr"/>
    </row>
    <row r="44">
      <c r="A44" s="53" t="inlineStr">
        <is>
          <t>SUPERVISOR SIGNATURE:</t>
        </is>
      </c>
      <c r="B44" s="54" t="inlineStr"/>
    </row>
    <row r="45">
      <c r="A45" s="53" t="inlineStr">
        <is>
          <t>DATE:</t>
        </is>
      </c>
      <c r="B45" s="54" t="inlineStr"/>
    </row>
  </sheetData>
  <mergeCells count="33">
    <mergeCell ref="B4:F4"/>
    <mergeCell ref="B7:F7"/>
    <mergeCell ref="B16:F16"/>
    <mergeCell ref="B22:F22"/>
    <mergeCell ref="A26:F26"/>
    <mergeCell ref="B21:F21"/>
    <mergeCell ref="A2:F2"/>
    <mergeCell ref="A33:F33"/>
    <mergeCell ref="B43:F43"/>
    <mergeCell ref="B11:F11"/>
    <mergeCell ref="B23:F23"/>
    <mergeCell ref="B14:F14"/>
    <mergeCell ref="B8:F8"/>
    <mergeCell ref="B17:F17"/>
    <mergeCell ref="B44:F44"/>
    <mergeCell ref="A13:F13"/>
    <mergeCell ref="A19:F19"/>
    <mergeCell ref="B34:F34"/>
    <mergeCell ref="B10:F10"/>
    <mergeCell ref="B37:F37"/>
    <mergeCell ref="A39:F39"/>
    <mergeCell ref="B40:F40"/>
    <mergeCell ref="B9:F9"/>
    <mergeCell ref="B6:F6"/>
    <mergeCell ref="B24:F24"/>
    <mergeCell ref="B20:F20"/>
    <mergeCell ref="B15:F15"/>
    <mergeCell ref="A1:F1"/>
    <mergeCell ref="B5:F5"/>
    <mergeCell ref="B45:F45"/>
    <mergeCell ref="B36:F36"/>
    <mergeCell ref="B41:F41"/>
    <mergeCell ref="B35:F35"/>
  </mergeCells>
  <pageMargins left="0.75" right="0.75" top="1" bottom="1" header="0.5" footer="0.5"/>
  <pageSetup orientation="portrait" paperSize="9"/>
</worksheet>
</file>

<file path=xl/worksheets/sheet46.xml><?xml version="1.0" encoding="utf-8"?>
<worksheet xmlns="http://schemas.openxmlformats.org/spreadsheetml/2006/main">
  <sheetPr>
    <tabColor rgb="00808080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CR2 FORM</t>
        </is>
      </c>
    </row>
    <row r="2">
      <c r="A2" s="52" t="inlineStr">
        <is>
          <t>CRIME REPORT — INVESTIGATION PROGRESS</t>
        </is>
      </c>
    </row>
    <row r="4">
      <c r="A4" s="53" t="inlineStr">
        <is>
          <t>Case Reference No.:</t>
        </is>
      </c>
      <c r="B4" s="56" t="n"/>
    </row>
    <row r="5">
      <c r="A5" s="53" t="inlineStr">
        <is>
          <t>Linked CR1 No.:</t>
        </is>
      </c>
      <c r="B5" s="56" t="n"/>
    </row>
    <row r="6">
      <c r="A6" s="53" t="inlineStr">
        <is>
          <t>Investigation Officer:</t>
        </is>
      </c>
      <c r="B6" s="56" t="n"/>
    </row>
    <row r="7">
      <c r="A7" s="53" t="inlineStr">
        <is>
          <t>Rank:</t>
        </is>
      </c>
      <c r="B7" s="56" t="n"/>
    </row>
    <row r="8">
      <c r="A8" s="53" t="inlineStr">
        <is>
          <t>Badge No.:</t>
        </is>
      </c>
      <c r="B8" s="56" t="n"/>
    </row>
    <row r="9">
      <c r="A9" s="53" t="inlineStr">
        <is>
          <t>Date:</t>
        </is>
      </c>
      <c r="B9" s="56" t="n"/>
    </row>
    <row r="11">
      <c r="A11" s="55" t="inlineStr">
        <is>
          <t>INVESTIGATION PROGRESS</t>
        </is>
      </c>
    </row>
    <row r="12">
      <c r="A12" s="53" t="inlineStr">
        <is>
          <t>Actions Taken:</t>
        </is>
      </c>
      <c r="B12" s="56" t="n"/>
    </row>
    <row r="15">
      <c r="A15" s="53" t="inlineStr">
        <is>
          <t>Witnesses Interviewed:</t>
        </is>
      </c>
      <c r="B15" s="56" t="n"/>
    </row>
    <row r="17">
      <c r="A17" s="53" t="inlineStr">
        <is>
          <t>Evidence Collected:</t>
        </is>
      </c>
      <c r="B17" s="56" t="n"/>
    </row>
    <row r="19">
      <c r="A19" s="53" t="inlineStr">
        <is>
          <t>Suspect Status:</t>
        </is>
      </c>
      <c r="B19" s="56" t="n"/>
    </row>
    <row r="21">
      <c r="A21" s="55" t="inlineStr">
        <is>
          <t>FORENSIC SUBMISSIONS</t>
        </is>
      </c>
    </row>
    <row r="22">
      <c r="A22" s="53" t="inlineStr">
        <is>
          <t>Exhibits Submitted:</t>
        </is>
      </c>
      <c r="B22" s="56" t="n"/>
    </row>
    <row r="23">
      <c r="A23" s="53" t="inlineStr">
        <is>
          <t>Lab/Agency:</t>
        </is>
      </c>
      <c r="B23" s="56" t="n"/>
    </row>
    <row r="24">
      <c r="A24" s="53" t="inlineStr">
        <is>
          <t>Date Submitted:</t>
        </is>
      </c>
      <c r="B24" s="56" t="n"/>
    </row>
    <row r="26">
      <c r="A26" s="55" t="inlineStr">
        <is>
          <t>RECOMMENDATIONS</t>
        </is>
      </c>
    </row>
    <row r="30">
      <c r="A30" s="55" t="inlineStr">
        <is>
          <t>SUPERVISOR REVIEW</t>
        </is>
      </c>
    </row>
    <row r="31">
      <c r="A31" s="53" t="inlineStr">
        <is>
          <t>Reviewed By:</t>
        </is>
      </c>
      <c r="B31" s="56" t="n"/>
    </row>
    <row r="32">
      <c r="A32" s="53" t="inlineStr">
        <is>
          <t>Date:</t>
        </is>
      </c>
      <c r="B32" s="56" t="n"/>
    </row>
    <row r="33">
      <c r="A33" s="53" t="inlineStr">
        <is>
          <t>Comments:</t>
        </is>
      </c>
      <c r="B33" s="56" t="n"/>
    </row>
    <row r="36">
      <c r="A36" s="55" t="inlineStr">
        <is>
          <t>SIGNATURES</t>
        </is>
      </c>
    </row>
    <row r="37">
      <c r="A37" s="53" t="inlineStr">
        <is>
          <t>Investigating Officer:</t>
        </is>
      </c>
      <c r="B37" s="56" t="n"/>
    </row>
    <row r="38">
      <c r="A38" s="53" t="inlineStr">
        <is>
          <t>Supervisor:</t>
        </is>
      </c>
      <c r="B38" s="56" t="n"/>
    </row>
    <row r="39">
      <c r="A39" s="53" t="inlineStr">
        <is>
          <t>Date:</t>
        </is>
      </c>
      <c r="B39" s="56" t="n"/>
    </row>
  </sheetData>
  <mergeCells count="26">
    <mergeCell ref="B4:F4"/>
    <mergeCell ref="B7:F7"/>
    <mergeCell ref="B31:F31"/>
    <mergeCell ref="B22:F22"/>
    <mergeCell ref="A26:F26"/>
    <mergeCell ref="A21:F21"/>
    <mergeCell ref="A2:F2"/>
    <mergeCell ref="B12:F12"/>
    <mergeCell ref="B39:F39"/>
    <mergeCell ref="B23:F23"/>
    <mergeCell ref="B8:F8"/>
    <mergeCell ref="B17:F17"/>
    <mergeCell ref="B38:F38"/>
    <mergeCell ref="B19:F19"/>
    <mergeCell ref="B37:F37"/>
    <mergeCell ref="A30:F30"/>
    <mergeCell ref="B9:F9"/>
    <mergeCell ref="A11:F11"/>
    <mergeCell ref="B6:F6"/>
    <mergeCell ref="B24:F24"/>
    <mergeCell ref="A36:F36"/>
    <mergeCell ref="B15:F15"/>
    <mergeCell ref="B33:F33"/>
    <mergeCell ref="A1:F1"/>
    <mergeCell ref="B5:F5"/>
    <mergeCell ref="B32:F3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80808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CR5 FORM</t>
        </is>
      </c>
    </row>
    <row r="2">
      <c r="A2" s="52" t="inlineStr">
        <is>
          <t>CRIME REPORT — CASE CLOSURE / DISPOSAL</t>
        </is>
      </c>
    </row>
    <row r="4">
      <c r="A4" s="53" t="inlineStr">
        <is>
          <t>Case Reference No.:</t>
        </is>
      </c>
      <c r="B4" s="56" t="n"/>
    </row>
    <row r="5">
      <c r="A5" s="53" t="inlineStr">
        <is>
          <t>Linked CR1 No.:</t>
        </is>
      </c>
      <c r="B5" s="56" t="n"/>
    </row>
    <row r="6">
      <c r="A6" s="53" t="inlineStr">
        <is>
          <t>Linked CR2 No.:</t>
        </is>
      </c>
      <c r="B6" s="56" t="n"/>
    </row>
    <row r="7">
      <c r="A7" s="53" t="inlineStr">
        <is>
          <t>Offence:</t>
        </is>
      </c>
      <c r="B7" s="56" t="n"/>
    </row>
    <row r="8">
      <c r="A8" s="53" t="inlineStr">
        <is>
          <t>Date of Offence:</t>
        </is>
      </c>
      <c r="B8" s="56" t="n"/>
    </row>
    <row r="9">
      <c r="A9" s="53" t="inlineStr">
        <is>
          <t>Investigating Officer:</t>
        </is>
      </c>
      <c r="B9" s="56" t="n"/>
    </row>
    <row r="10">
      <c r="A10" s="53" t="inlineStr">
        <is>
          <t>Rank:</t>
        </is>
      </c>
      <c r="B10" s="56" t="n"/>
    </row>
    <row r="12">
      <c r="A12" s="55" t="inlineStr">
        <is>
          <t>DISPOSAL DETAILS</t>
        </is>
      </c>
    </row>
    <row r="13">
      <c r="A13" s="53" t="inlineStr">
        <is>
          <t>Disposal Type:</t>
        </is>
      </c>
      <c r="B13" s="56" t="n"/>
    </row>
    <row r="14">
      <c r="A14" s="53" t="inlineStr">
        <is>
          <t>Court:</t>
        </is>
      </c>
      <c r="B14" s="56" t="n"/>
    </row>
    <row r="15">
      <c r="A15" s="53" t="inlineStr">
        <is>
          <t>Court Date:</t>
        </is>
      </c>
      <c r="B15" s="56" t="n"/>
    </row>
    <row r="16">
      <c r="A16" s="53" t="inlineStr">
        <is>
          <t>Verdict:</t>
        </is>
      </c>
      <c r="B16" s="56" t="n"/>
    </row>
    <row r="17">
      <c r="A17" s="53" t="inlineStr">
        <is>
          <t>Sentence:</t>
        </is>
      </c>
      <c r="B17" s="56" t="n"/>
    </row>
    <row r="19">
      <c r="A19" s="55" t="inlineStr">
        <is>
          <t>EVIDENCE DISPOSITION</t>
        </is>
      </c>
    </row>
    <row r="20">
      <c r="A20" s="53" t="inlineStr">
        <is>
          <t>Exhibits Returned:</t>
        </is>
      </c>
      <c r="B20" s="56" t="n"/>
    </row>
    <row r="21">
      <c r="A21" s="53" t="inlineStr">
        <is>
          <t>Exhibits Destroyed:</t>
        </is>
      </c>
      <c r="B21" s="56" t="n"/>
    </row>
    <row r="22">
      <c r="A22" s="53" t="inlineStr">
        <is>
          <t>Exhibits Retained:</t>
        </is>
      </c>
      <c r="B22" s="56" t="n"/>
    </row>
    <row r="24">
      <c r="A24" s="55" t="inlineStr">
        <is>
          <t>FINAL REMARKS</t>
        </is>
      </c>
    </row>
    <row r="28">
      <c r="A28" s="55" t="inlineStr">
        <is>
          <t>APPROVALS</t>
        </is>
      </c>
    </row>
    <row r="29">
      <c r="A29" s="53" t="inlineStr">
        <is>
          <t>Investigating Officer:</t>
        </is>
      </c>
      <c r="B29" s="56" t="n"/>
    </row>
    <row r="30">
      <c r="A30" s="53" t="inlineStr">
        <is>
          <t>Supervisor:</t>
        </is>
      </c>
      <c r="B30" s="56" t="n"/>
    </row>
    <row r="31">
      <c r="A31" s="53" t="inlineStr">
        <is>
          <t>Divisional Commander:</t>
        </is>
      </c>
      <c r="B31" s="56" t="n"/>
    </row>
    <row r="32">
      <c r="A32" s="53" t="inlineStr">
        <is>
          <t>Date:</t>
        </is>
      </c>
      <c r="B32" s="56" t="n"/>
    </row>
  </sheetData>
  <mergeCells count="25">
    <mergeCell ref="B4:F4"/>
    <mergeCell ref="B7:F7"/>
    <mergeCell ref="B16:F16"/>
    <mergeCell ref="B31:F31"/>
    <mergeCell ref="A12:F12"/>
    <mergeCell ref="B22:F22"/>
    <mergeCell ref="B21:F21"/>
    <mergeCell ref="A2:F2"/>
    <mergeCell ref="B14:F14"/>
    <mergeCell ref="B8:F8"/>
    <mergeCell ref="B17:F17"/>
    <mergeCell ref="B13:F13"/>
    <mergeCell ref="B29:F29"/>
    <mergeCell ref="A28:F28"/>
    <mergeCell ref="A19:F19"/>
    <mergeCell ref="B10:F10"/>
    <mergeCell ref="B9:F9"/>
    <mergeCell ref="A24:F24"/>
    <mergeCell ref="B30:F30"/>
    <mergeCell ref="B6:F6"/>
    <mergeCell ref="B20:F20"/>
    <mergeCell ref="B15:F15"/>
    <mergeCell ref="A1:F1"/>
    <mergeCell ref="B5:F5"/>
    <mergeCell ref="B32:F3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00808080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CASE SUMMARY REPORT</t>
        </is>
      </c>
    </row>
    <row r="3">
      <c r="A3" s="53" t="inlineStr">
        <is>
          <t>Case ID:</t>
        </is>
      </c>
      <c r="B3" s="56" t="n"/>
    </row>
    <row r="4">
      <c r="A4" s="53" t="inlineStr">
        <is>
          <t>CR1 Number:</t>
        </is>
      </c>
      <c r="B4" s="56" t="n"/>
    </row>
    <row r="5">
      <c r="A5" s="53" t="inlineStr">
        <is>
          <t>CR2 Number:</t>
        </is>
      </c>
      <c r="B5" s="56" t="n"/>
    </row>
    <row r="6">
      <c r="A6" s="53" t="inlineStr">
        <is>
          <t>CR5 Number:</t>
        </is>
      </c>
      <c r="B6" s="56" t="n"/>
    </row>
    <row r="7">
      <c r="A7" s="53" t="inlineStr">
        <is>
          <t>Offence:</t>
        </is>
      </c>
      <c r="B7" s="56" t="n"/>
    </row>
    <row r="8">
      <c r="A8" s="53" t="inlineStr">
        <is>
          <t>Date:</t>
        </is>
      </c>
      <c r="B8" s="56" t="n"/>
    </row>
    <row r="9">
      <c r="A9" s="53" t="inlineStr">
        <is>
          <t>Parish/Station:</t>
        </is>
      </c>
      <c r="B9" s="56" t="n"/>
    </row>
    <row r="10">
      <c r="A10" s="53" t="inlineStr">
        <is>
          <t>Investigator:</t>
        </is>
      </c>
      <c r="B10" s="56" t="n"/>
    </row>
    <row r="11">
      <c r="A11" s="53" t="inlineStr">
        <is>
          <t>Status:</t>
        </is>
      </c>
      <c r="B11" s="56" t="n"/>
    </row>
    <row r="12">
      <c r="A12" s="53" t="inlineStr">
        <is>
          <t>Priority:</t>
        </is>
      </c>
      <c r="B12" s="56" t="n"/>
    </row>
    <row r="14">
      <c r="A14" s="55" t="inlineStr">
        <is>
          <t>CASE SYNOPSIS</t>
        </is>
      </c>
    </row>
    <row r="18">
      <c r="A18" s="55" t="inlineStr">
        <is>
          <t>KEY EVIDENCE</t>
        </is>
      </c>
    </row>
    <row r="21">
      <c r="A21" s="55" t="inlineStr">
        <is>
          <t>SUSPECTS</t>
        </is>
      </c>
    </row>
    <row r="24">
      <c r="A24" s="55" t="inlineStr">
        <is>
          <t>CURRENT STATUS &amp; NEXT STEPS</t>
        </is>
      </c>
    </row>
    <row r="27">
      <c r="A27" s="55" t="inlineStr">
        <is>
          <t>SUPERVISORY NOTES</t>
        </is>
      </c>
    </row>
    <row r="29">
      <c r="A29" s="53" t="inlineStr">
        <is>
          <t>Prepared By:</t>
        </is>
      </c>
      <c r="B29" s="56" t="n"/>
    </row>
    <row r="30">
      <c r="A30" s="53" t="inlineStr">
        <is>
          <t>Date:</t>
        </is>
      </c>
      <c r="B30" s="56" t="n"/>
    </row>
  </sheetData>
  <mergeCells count="18">
    <mergeCell ref="B4:F4"/>
    <mergeCell ref="A24:F24"/>
    <mergeCell ref="B30:F30"/>
    <mergeCell ref="B12:F12"/>
    <mergeCell ref="B7:F7"/>
    <mergeCell ref="B29:F29"/>
    <mergeCell ref="B6:F6"/>
    <mergeCell ref="A14:F14"/>
    <mergeCell ref="B10:F10"/>
    <mergeCell ref="A1:F1"/>
    <mergeCell ref="B11:F11"/>
    <mergeCell ref="B3:F3"/>
    <mergeCell ref="B5:F5"/>
    <mergeCell ref="A27:F27"/>
    <mergeCell ref="A18:F18"/>
    <mergeCell ref="B8:F8"/>
    <mergeCell ref="A21:F21"/>
    <mergeCell ref="B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2026-02-26T18:08:54Z</dcterms:created>
  <dcterms:modified xsi:type="dcterms:W3CDTF">2026-02-26T18:08:54Z</dcterms:modified>
</cp:coreProperties>
</file>