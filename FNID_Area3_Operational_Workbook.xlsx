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tables/table13.xml" ContentType="application/vnd.openxmlformats-officedocument.spreadsheetml.table+xml"/>
  <Override PartName="/xl/worksheets/sheet16.xml" ContentType="application/vnd.openxmlformats-officedocument.spreadsheetml.worksheet+xml"/>
  <Override PartName="/xl/tables/table14.xml" ContentType="application/vnd.openxmlformats-officedocument.spreadsheetml.table+xml"/>
  <Override PartName="/xl/worksheets/sheet17.xml" ContentType="application/vnd.openxmlformats-officedocument.spreadsheetml.worksheet+xml"/>
  <Override PartName="/xl/tables/table15.xml" ContentType="application/vnd.openxmlformats-officedocument.spreadsheetml.table+xml"/>
  <Override PartName="/xl/worksheets/sheet18.xml" ContentType="application/vnd.openxmlformats-officedocument.spreadsheetml.worksheet+xml"/>
  <Override PartName="/xl/tables/table16.xml" ContentType="application/vnd.openxmlformats-officedocument.spreadsheetml.table+xml"/>
  <Override PartName="/xl/worksheets/sheet19.xml" ContentType="application/vnd.openxmlformats-officedocument.spreadsheetml.worksheet+xml"/>
  <Override PartName="/xl/tables/table17.xml" ContentType="application/vnd.openxmlformats-officedocument.spreadsheetml.table+xml"/>
  <Override PartName="/xl/worksheets/sheet20.xml" ContentType="application/vnd.openxmlformats-officedocument.spreadsheetml.worksheet+xml"/>
  <Override PartName="/xl/tables/table18.xml" ContentType="application/vnd.openxmlformats-officedocument.spreadsheetml.table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ables/table23.xml" ContentType="application/vnd.openxmlformats-officedocument.spreadsheetml.table+xml"/>
  <Override PartName="/xl/worksheets/sheet37.xml" ContentType="application/vnd.openxmlformats-officedocument.spreadsheetml.worksheet+xml"/>
  <Override PartName="/xl/tables/table24.xml" ContentType="application/vnd.openxmlformats-officedocument.spreadsheetml.table+xml"/>
  <Override PartName="/xl/worksheets/sheet38.xml" ContentType="application/vnd.openxmlformats-officedocument.spreadsheetml.worksheet+xml"/>
  <Override PartName="/xl/tables/table25.xml" ContentType="application/vnd.openxmlformats-officedocument.spreadsheetml.table+xml"/>
  <Override PartName="/xl/worksheets/sheet39.xml" ContentType="application/vnd.openxmlformats-officedocument.spreadsheetml.worksheet+xml"/>
  <Override PartName="/xl/tables/table26.xml" ContentType="application/vnd.openxmlformats-officedocument.spreadsheetml.table+xml"/>
  <Override PartName="/xl/worksheets/sheet40.xml" ContentType="application/vnd.openxmlformats-officedocument.spreadsheetml.worksheet+xml"/>
  <Override PartName="/xl/tables/table27.xml" ContentType="application/vnd.openxmlformats-officedocument.spreadsheetml.table+xml"/>
  <Override PartName="/xl/worksheets/sheet41.xml" ContentType="application/vnd.openxmlformats-officedocument.spreadsheetml.worksheet+xml"/>
  <Override PartName="/xl/tables/table28.xml" ContentType="application/vnd.openxmlformats-officedocument.spreadsheetml.table+xml"/>
  <Override PartName="/xl/worksheets/sheet42.xml" ContentType="application/vnd.openxmlformats-officedocument.spreadsheetml.worksheet+xml"/>
  <Override PartName="/xl/tables/table29.xml" ContentType="application/vnd.openxmlformats-officedocument.spreadsheetml.table+xml"/>
  <Override PartName="/xl/worksheets/sheet43.xml" ContentType="application/vnd.openxmlformats-officedocument.spreadsheetml.worksheet+xml"/>
  <Override PartName="/xl/tables/table30.xml" ContentType="application/vnd.openxmlformats-officedocument.spreadsheetml.table+xml"/>
  <Override PartName="/xl/worksheets/sheet44.xml" ContentType="application/vnd.openxmlformats-officedocument.spreadsheetml.worksheet+xml"/>
  <Override PartName="/xl/tables/table31.xml" ContentType="application/vnd.openxmlformats-officedocument.spreadsheetml.table+xml"/>
  <Override PartName="/xl/worksheets/sheet45.xml" ContentType="application/vnd.openxmlformats-officedocument.spreadsheetml.worksheet+xml"/>
  <Override PartName="/xl/tables/table32.xml" ContentType="application/vnd.openxmlformats-officedocument.spreadsheetml.table+xml"/>
  <Override PartName="/xl/worksheets/sheet46.xml" ContentType="application/vnd.openxmlformats-officedocument.spreadsheetml.worksheet+xml"/>
  <Override PartName="/xl/tables/table33.xml" ContentType="application/vnd.openxmlformats-officedocument.spreadsheetml.table+xml"/>
  <Override PartName="/xl/worksheets/sheet47.xml" ContentType="application/vnd.openxmlformats-officedocument.spreadsheetml.worksheet+xml"/>
  <Override PartName="/xl/tables/table34.xml" ContentType="application/vnd.openxmlformats-officedocument.spreadsheetml.table+xml"/>
  <Override PartName="/xl/worksheets/sheet48.xml" ContentType="application/vnd.openxmlformats-officedocument.spreadsheetml.worksheet+xml"/>
  <Override PartName="/xl/tables/table35.xml" ContentType="application/vnd.openxmlformats-officedocument.spreadsheetml.table+xml"/>
  <Override PartName="/xl/worksheets/sheet49.xml" ContentType="application/vnd.openxmlformats-officedocument.spreadsheetml.worksheet+xml"/>
  <Override PartName="/xl/tables/table36.xml" ContentType="application/vnd.openxmlformats-officedocument.spreadsheetml.table+xml"/>
  <Override PartName="/xl/worksheets/sheet50.xml" ContentType="application/vnd.openxmlformats-officedocument.spreadsheetml.worksheet+xml"/>
  <Override PartName="/xl/tables/table37.xml" ContentType="application/vnd.openxmlformats-officedocument.spreadsheetml.table+xml"/>
  <Override PartName="/xl/worksheets/sheet51.xml" ContentType="application/vnd.openxmlformats-officedocument.spreadsheetml.worksheet+xml"/>
  <Override PartName="/xl/tables/table38.xml" ContentType="application/vnd.openxmlformats-officedocument.spreadsheetml.table+xml"/>
  <Override PartName="/xl/worksheets/sheet52.xml" ContentType="application/vnd.openxmlformats-officedocument.spreadsheetml.worksheet+xml"/>
  <Override PartName="/xl/tables/table39.xml" ContentType="application/vnd.openxmlformats-officedocument.spreadsheetml.table+xml"/>
  <Override PartName="/xl/worksheets/sheet53.xml" ContentType="application/vnd.openxmlformats-officedocument.spreadsheetml.worksheet+xml"/>
  <Override PartName="/xl/tables/table40.xml" ContentType="application/vnd.openxmlformats-officedocument.spreadsheetml.table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tables/table41.xml" ContentType="application/vnd.openxmlformats-officedocument.spreadsheetml.table+xml"/>
  <Override PartName="/xl/worksheets/sheet71.xml" ContentType="application/vnd.openxmlformats-officedocument.spreadsheetml.worksheet+xml"/>
  <Override PartName="/xl/tables/table42.xml" ContentType="application/vnd.openxmlformats-officedocument.spreadsheetml.table+xml"/>
  <Override PartName="/xl/worksheets/sheet72.xml" ContentType="application/vnd.openxmlformats-officedocument.spreadsheetml.worksheet+xml"/>
  <Override PartName="/xl/tables/table43.xml" ContentType="application/vnd.openxmlformats-officedocument.spreadsheetml.table+xml"/>
  <Override PartName="/xl/worksheets/sheet73.xml" ContentType="application/vnd.openxmlformats-officedocument.spreadsheetml.worksheet+xml"/>
  <Override PartName="/xl/tables/table44.xml" ContentType="application/vnd.openxmlformats-officedocument.spreadsheetml.table+xml"/>
  <Override PartName="/xl/worksheets/sheet74.xml" ContentType="application/vnd.openxmlformats-officedocument.spreadsheetml.worksheet+xml"/>
  <Override PartName="/xl/tables/table45.xml" ContentType="application/vnd.openxmlformats-officedocument.spreadsheetml.table+xml"/>
  <Override PartName="/xl/worksheets/sheet75.xml" ContentType="application/vnd.openxmlformats-officedocument.spreadsheetml.worksheet+xml"/>
  <Override PartName="/xl/tables/table46.xml" ContentType="application/vnd.openxmlformats-officedocument.spreadsheetml.table+xml"/>
  <Override PartName="/xl/worksheets/sheet76.xml" ContentType="application/vnd.openxmlformats-officedocument.spreadsheetml.worksheet+xml"/>
  <Override PartName="/xl/tables/table47.xml" ContentType="application/vnd.openxmlformats-officedocument.spreadsheetml.table+xml"/>
  <Override PartName="/xl/worksheets/sheet77.xml" ContentType="application/vnd.openxmlformats-officedocument.spreadsheetml.worksheet+xml"/>
  <Override PartName="/xl/tables/table48.xml" ContentType="application/vnd.openxmlformats-officedocument.spreadsheetml.table+xml"/>
  <Override PartName="/xl/worksheets/sheet78.xml" ContentType="application/vnd.openxmlformats-officedocument.spreadsheetml.worksheet+xml"/>
  <Override PartName="/xl/tables/table49.xml" ContentType="application/vnd.openxmlformats-officedocument.spreadsheetml.table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tables/table50.xml" ContentType="application/vnd.openxmlformats-officedocument.spreadsheetml.table+xml"/>
  <Override PartName="/xl/worksheets/sheet8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Lookups" sheetId="2" state="visible" r:id="rId2"/>
    <sheet name="OffenceClassMap" sheetId="3" state="visible" r:id="rId3"/>
    <sheet name="ForensicRouting" sheetId="4" state="visible" r:id="rId4"/>
    <sheet name="EvidenceUseMap" sheetId="5" state="visible" r:id="rId5"/>
    <sheet name="tbl_Cases" sheetId="6" state="visible" r:id="rId6"/>
    <sheet name="tbl_Actions" sheetId="7" state="visible" r:id="rId7"/>
    <sheet name="tbl_Reviews" sheetId="8" state="visible" r:id="rId8"/>
    <sheet name="tbl_DiaryEntries" sheetId="9" state="visible" r:id="rId9"/>
    <sheet name="tbl_RadioMessages" sheetId="10" state="visible" r:id="rId10"/>
    <sheet name="tbl_Persons" sheetId="11" state="visible" r:id="rId11"/>
    <sheet name="tbl_MCR_Raw" sheetId="12" state="visible" r:id="rId12"/>
    <sheet name="tbl_Leads" sheetId="13" state="visible" r:id="rId13"/>
    <sheet name="tbl_FollowUpRecs" sheetId="14" state="visible" r:id="rId14"/>
    <sheet name="tbl_IntelBriefings" sheetId="15" state="visible" r:id="rId15"/>
    <sheet name="tbl_Operations" sheetId="16" state="visible" r:id="rId16"/>
    <sheet name="tbl_Exhibits" sheetId="17" state="visible" r:id="rId17"/>
    <sheet name="tbl_Vehicles" sheetId="18" state="visible" r:id="rId18"/>
    <sheet name="tbl_VehicleUsage" sheetId="19" state="visible" r:id="rId19"/>
    <sheet name="tbl_FuelLog" sheetId="20" state="visible" r:id="rId20"/>
    <sheet name="tbl_Maintenance" sheetId="21" state="visible" r:id="rId21"/>
    <sheet name="tbl_Drivers" sheetId="22" state="visible" r:id="rId22"/>
    <sheet name="tbl_DemandReduction" sheetId="23" state="visible" r:id="rId23"/>
    <sheet name="tbl_UnitPlans" sheetId="24" state="visible" r:id="rId24"/>
    <sheet name="Portal_Operations" sheetId="25" state="visible" r:id="rId25"/>
    <sheet name="Portal_Intelligence" sheetId="26" state="visible" r:id="rId26"/>
    <sheet name="Portal_Transport" sheetId="27" state="visible" r:id="rId27"/>
    <sheet name="Portal_DemandReduction" sheetId="28" state="visible" r:id="rId28"/>
    <sheet name="Dash_Executive" sheetId="29" state="visible" r:id="rId29"/>
    <sheet name="Statistics_Hub" sheetId="30" state="visible" r:id="rId30"/>
    <sheet name="Dash_FCSI" sheetId="31" state="visible" r:id="rId31"/>
    <sheet name="Form_CR1" sheetId="32" state="visible" r:id="rId32"/>
    <sheet name="Form_CR2" sheetId="33" state="visible" r:id="rId33"/>
    <sheet name="Form_CR5" sheetId="34" state="visible" r:id="rId34"/>
    <sheet name="Form_CaseSummary" sheetId="35" state="visible" r:id="rId35"/>
    <sheet name="tbl_Personnel" sheetId="36" state="visible" r:id="rId36"/>
    <sheet name="tbl_Training" sheetId="37" state="visible" r:id="rId37"/>
    <sheet name="tbl_CourtDates" sheetId="38" state="visible" r:id="rId38"/>
    <sheet name="tbl_Arrests" sheetId="39" state="visible" r:id="rId39"/>
    <sheet name="tbl_Seizures" sheetId="40" state="visible" r:id="rId40"/>
    <sheet name="tbl_Warrants" sheetId="41" state="visible" r:id="rId41"/>
    <sheet name="tbl_Informants" sheetId="42" state="visible" r:id="rId42"/>
    <sheet name="tbl_DutyRoster" sheetId="43" state="visible" r:id="rId43"/>
    <sheet name="tbl_CustodyTransfers" sheetId="44" state="visible" r:id="rId44"/>
    <sheet name="tbl_SceneLog" sheetId="45" state="visible" r:id="rId45"/>
    <sheet name="tbl_Witnesses" sheetId="46" state="visible" r:id="rId46"/>
    <sheet name="tbl_Statements" sheetId="47" state="visible" r:id="rId47"/>
    <sheet name="tbl_CaseAssignments" sheetId="48" state="visible" r:id="rId48"/>
    <sheet name="tbl_VictimContact" sheetId="49" state="visible" r:id="rId49"/>
    <sheet name="tbl_InvestigationPlans" sheetId="50" state="visible" r:id="rId50"/>
    <sheet name="tbl_CaseFileChecklist" sheetId="51" state="visible" r:id="rId51"/>
    <sheet name="tbl_Disclosure" sheetId="52" state="visible" r:id="rId52"/>
    <sheet name="tbl_CommandConference" sheetId="53" state="visible" r:id="rId53"/>
    <sheet name="Portal_Registry" sheetId="54" state="visible" r:id="rId54"/>
    <sheet name="Portal_Investigations" sheetId="55" state="visible" r:id="rId55"/>
    <sheet name="Form_InvestigationPlan" sheetId="56" state="visible" r:id="rId56"/>
    <sheet name="Form_FileChecklist" sheetId="57" state="visible" r:id="rId57"/>
    <sheet name="Form_WitnessSummons" sheetId="58" state="visible" r:id="rId58"/>
    <sheet name="Dash_Registry" sheetId="59" state="visible" r:id="rId59"/>
    <sheet name="Dash_Investigations" sheetId="60" state="visible" r:id="rId60"/>
    <sheet name="Dash_Operations" sheetId="61" state="visible" r:id="rId61"/>
    <sheet name="Dash_Intelligence" sheetId="62" state="visible" r:id="rId62"/>
    <sheet name="Dash_Transport" sheetId="63" state="visible" r:id="rId63"/>
    <sheet name="Dash_Evidence" sheetId="64" state="visible" r:id="rId64"/>
    <sheet name="Dash_DemandReduction" sheetId="65" state="visible" r:id="rId65"/>
    <sheet name="Dash_Oversight" sheetId="66" state="visible" r:id="rId66"/>
    <sheet name="Portal_Training" sheetId="67" state="visible" r:id="rId67"/>
    <sheet name="Portal_AdminHRM" sheetId="68" state="visible" r:id="rId68"/>
    <sheet name="Portal_Oversight" sheetId="69" state="visible" r:id="rId69"/>
    <sheet name="tbl_BallisticTrace" sheetId="70" state="visible" r:id="rId70"/>
    <sheet name="tbl_GangAffiliation" sheetId="71" state="visible" r:id="rId71"/>
    <sheet name="tbl_Budget" sheetId="72" state="visible" r:id="rId72"/>
    <sheet name="tbl_LeaveManagement" sheetId="73" state="visible" r:id="rId73"/>
    <sheet name="tbl_Disciplinary" sheetId="74" state="visible" r:id="rId74"/>
    <sheet name="tbl_Correspondence" sheetId="75" state="visible" r:id="rId75"/>
    <sheet name="tbl_RiskRegister" sheetId="76" state="visible" r:id="rId76"/>
    <sheet name="tbl_AfterActionReport" sheetId="77" state="visible" r:id="rId77"/>
    <sheet name="tbl_Notifications" sheetId="78" state="visible" r:id="rId78"/>
    <sheet name="Instructions" sheetId="79" state="visible" r:id="rId79"/>
    <sheet name="ChangeLog" sheetId="80" state="visible" r:id="rId80"/>
    <sheet name="Form_QuarterlyReport" sheetId="81" state="visible" r:id="rId8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4">
    <font>
      <name val="Calibri"/>
      <family val="2"/>
      <color theme="1"/>
      <sz val="11"/>
      <scheme val="minor"/>
    </font>
    <font>
      <name val="Calibri"/>
      <b val="1"/>
      <color rgb="00FFFFFF"/>
      <sz val="22"/>
    </font>
    <font>
      <name val="Calibri"/>
      <b val="1"/>
      <color rgb="002E75B6"/>
      <sz val="12"/>
    </font>
    <font>
      <name val="Calibri"/>
      <i val="1"/>
      <color rgb="00666666"/>
      <sz val="10"/>
    </font>
    <font>
      <name val="Calibri"/>
      <b val="1"/>
      <color rgb="00FFFFFF"/>
      <sz val="12"/>
    </font>
    <font>
      <name val="Calibri"/>
      <b val="1"/>
      <color rgb="002E75B6"/>
      <sz val="10"/>
    </font>
    <font>
      <name val="Calibri"/>
      <color rgb="00333333"/>
      <sz val="10"/>
    </font>
    <font>
      <name val="Calibri"/>
      <i val="1"/>
      <color rgb="00999999"/>
      <sz val="9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3864"/>
      <sz val="18"/>
    </font>
    <font>
      <name val="Calibri"/>
      <i val="1"/>
      <color rgb="00666666"/>
      <sz val="9"/>
    </font>
    <font>
      <name val="Calibri"/>
      <b val="1"/>
      <color rgb="002E75B6"/>
      <sz val="13"/>
    </font>
    <font>
      <name val="Calibri"/>
      <b val="1"/>
      <sz val="10"/>
    </font>
    <font>
      <name val="Calibri"/>
      <b val="1"/>
      <color rgb="001F3864"/>
      <sz val="14"/>
    </font>
    <font>
      <name val="Calibri"/>
      <b val="1"/>
      <color rgb="00FFFFFF"/>
      <sz val="20"/>
    </font>
    <font>
      <name val="Calibri"/>
      <b val="1"/>
      <color rgb="00FFFFFF"/>
      <sz val="9"/>
    </font>
    <font>
      <name val="Calibri"/>
      <b val="1"/>
      <color rgb="001F3864"/>
      <sz val="16"/>
    </font>
    <font>
      <name val="Calibri"/>
      <b val="1"/>
      <color rgb="00000000"/>
      <sz val="9"/>
    </font>
    <font>
      <name val="Calibri"/>
      <b val="1"/>
      <color rgb="00FFFFFF"/>
      <sz val="13"/>
    </font>
    <font>
      <name val="Calibri"/>
      <b val="1"/>
      <color rgb="00C00000"/>
      <sz val="16"/>
    </font>
    <font>
      <name val="Calibri"/>
      <b val="1"/>
      <color rgb="001F3864"/>
      <sz val="12"/>
    </font>
    <font>
      <name val="Calibri"/>
      <b val="1"/>
      <color rgb="002E75B6"/>
      <sz val="11"/>
    </font>
    <font>
      <name val="Calibri"/>
      <b val="1"/>
      <color rgb="00FFFFFF"/>
      <sz val="18"/>
    </font>
  </fonts>
  <fills count="1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002060"/>
      </patternFill>
    </fill>
    <fill>
      <patternFill patternType="solid">
        <fgColor rgb="00C00000"/>
      </patternFill>
    </fill>
    <fill>
      <patternFill patternType="solid">
        <fgColor rgb="00538135"/>
      </patternFill>
    </fill>
    <fill>
      <patternFill patternType="solid">
        <fgColor rgb="00808080"/>
      </patternFill>
    </fill>
    <fill>
      <patternFill patternType="solid">
        <fgColor rgb="00D6E4F0"/>
      </patternFill>
    </fill>
    <fill>
      <patternFill patternType="solid">
        <fgColor rgb="002E75B6"/>
      </patternFill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BF8F00"/>
      </patternFill>
    </fill>
    <fill>
      <patternFill patternType="solid">
        <fgColor rgb="00FFC000"/>
      </patternFill>
    </fill>
    <fill>
      <patternFill patternType="solid">
        <fgColor rgb="0000B050"/>
      </patternFill>
    </fill>
    <fill>
      <patternFill patternType="solid">
        <fgColor rgb="00FF0000"/>
      </patternFill>
    </fill>
    <fill>
      <patternFill patternType="solid">
        <fgColor rgb="00FFF2CC"/>
      </patternFill>
    </fill>
    <fill>
      <patternFill patternType="solid">
        <fgColor rgb="007030A0"/>
      </patternFill>
    </fill>
  </fills>
  <borders count="9">
    <border>
      <left/>
      <right/>
      <top/>
      <bottom/>
      <diagonal/>
    </border>
    <border>
      <bottom style="hair">
        <color rgb="00CCCCCC"/>
      </bottom>
    </border>
    <border>
      <left style="thin"/>
      <right style="thin"/>
      <top style="thin"/>
      <bottom style="thin"/>
    </border>
    <border>
      <bottom style="thin"/>
    </border>
    <border>
      <left/>
      <right/>
      <top/>
      <bottom style="hair">
        <color rgb="00CCCCCC"/>
      </bottom>
      <diagonal/>
    </border>
    <border>
      <left/>
      <right/>
      <top/>
      <bottom style="thin"/>
      <diagonal/>
    </border>
    <border>
      <right/>
      <bottom style="hair">
        <color rgb="00CCCCCC"/>
      </bottom>
    </border>
    <border>
      <right/>
      <bottom style="thin"/>
    </border>
    <border>
      <bottom style="dotted"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/>
    </xf>
    <xf numFmtId="0" fontId="5" fillId="0" borderId="1" applyAlignment="1" pivotButton="0" quotePrefix="0" xfId="0">
      <alignment indent="2"/>
    </xf>
    <xf numFmtId="0" fontId="6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4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 wrapText="1"/>
    </xf>
    <xf numFmtId="0" fontId="8" fillId="2" borderId="0" pivotButton="0" quotePrefix="0" xfId="0"/>
    <xf numFmtId="0" fontId="8" fillId="2" borderId="2" applyAlignment="1" pivotButton="0" quotePrefix="0" xfId="0">
      <alignment horizontal="center" vertical="center" wrapText="1"/>
    </xf>
    <xf numFmtId="0" fontId="9" fillId="0" borderId="2" pivotButton="0" quotePrefix="0" xfId="0"/>
    <xf numFmtId="0" fontId="9" fillId="0" borderId="2" applyAlignment="1" pivotButton="0" quotePrefix="0" xfId="0">
      <alignment horizontal="left" vertical="center" wrapText="1"/>
    </xf>
    <xf numFmtId="9" fontId="9" fillId="0" borderId="2" pivotButton="0" quotePrefix="0" xfId="0"/>
    <xf numFmtId="0" fontId="10" fillId="7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  <xf numFmtId="0" fontId="12" fillId="7" borderId="0" pivotButton="0" quotePrefix="0" xfId="0"/>
    <xf numFmtId="0" fontId="8" fillId="8" borderId="2" applyAlignment="1" pivotButton="0" quotePrefix="0" xfId="0">
      <alignment horizontal="center" vertical="center" wrapText="1"/>
    </xf>
    <xf numFmtId="0" fontId="9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9" fontId="0" fillId="0" borderId="2" applyAlignment="1" pivotButton="0" quotePrefix="0" xfId="0">
      <alignment horizontal="center" vertical="center" wrapText="1"/>
    </xf>
    <xf numFmtId="0" fontId="13" fillId="9" borderId="2" pivotButton="0" quotePrefix="0" xfId="0"/>
    <xf numFmtId="0" fontId="14" fillId="0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13" fillId="0" borderId="2" pivotButton="0" quotePrefix="0" xfId="0"/>
    <xf numFmtId="0" fontId="0" fillId="10" borderId="2" pivotButton="0" quotePrefix="0" xfId="0"/>
    <xf numFmtId="0" fontId="15" fillId="2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16" fillId="8" borderId="2" applyAlignment="1" pivotButton="0" quotePrefix="0" xfId="0">
      <alignment horizontal="center" vertical="center" wrapText="1"/>
    </xf>
    <xf numFmtId="0" fontId="17" fillId="7" borderId="2" applyAlignment="1" pivotButton="0" quotePrefix="0" xfId="0">
      <alignment horizontal="center" vertical="center" wrapText="1"/>
    </xf>
    <xf numFmtId="0" fontId="16" fillId="11" borderId="2" applyAlignment="1" pivotButton="0" quotePrefix="0" xfId="0">
      <alignment horizontal="center" vertical="center" wrapText="1"/>
    </xf>
    <xf numFmtId="0" fontId="12" fillId="12" borderId="0" pivotButton="0" quotePrefix="0" xfId="0"/>
    <xf numFmtId="0" fontId="18" fillId="12" borderId="2" applyAlignment="1" pivotButton="0" quotePrefix="0" xfId="0">
      <alignment horizontal="center" vertical="center" wrapText="1"/>
    </xf>
    <xf numFmtId="0" fontId="16" fillId="5" borderId="2" applyAlignment="1" pivotButton="0" quotePrefix="0" xfId="0">
      <alignment horizontal="center" vertical="center" wrapText="1"/>
    </xf>
    <xf numFmtId="0" fontId="16" fillId="13" borderId="2" applyAlignment="1" pivotButton="0" quotePrefix="0" xfId="0">
      <alignment horizontal="center" vertical="center" wrapText="1"/>
    </xf>
    <xf numFmtId="0" fontId="19" fillId="14" borderId="0" pivotButton="0" quotePrefix="0" xfId="0"/>
    <xf numFmtId="0" fontId="16" fillId="4" borderId="2" applyAlignment="1" pivotButton="0" quotePrefix="0" xfId="0">
      <alignment horizontal="center" vertical="center" wrapText="1"/>
    </xf>
    <xf numFmtId="0" fontId="20" fillId="15" borderId="2" applyAlignment="1" pivotButton="0" quotePrefix="0" xfId="0">
      <alignment horizontal="center" vertical="center" wrapText="1"/>
    </xf>
    <xf numFmtId="9" fontId="9" fillId="0" borderId="2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left" vertical="center"/>
    </xf>
    <xf numFmtId="0" fontId="21" fillId="0" borderId="2" applyAlignment="1" pivotButton="0" quotePrefix="0" xfId="0">
      <alignment horizontal="center" vertical="center" wrapText="1"/>
    </xf>
    <xf numFmtId="0" fontId="4" fillId="11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4" fillId="13" borderId="0" applyAlignment="1" pivotButton="0" quotePrefix="0" xfId="0">
      <alignment horizontal="left" vertical="center"/>
    </xf>
    <xf numFmtId="0" fontId="17" fillId="0" borderId="2" applyAlignment="1" pivotButton="0" quotePrefix="0" xfId="0">
      <alignment horizontal="center" vertical="center" wrapText="1"/>
    </xf>
    <xf numFmtId="0" fontId="12" fillId="0" borderId="0" pivotButton="0" quotePrefix="0" xfId="0"/>
    <xf numFmtId="0" fontId="16" fillId="2" borderId="2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13" fillId="0" borderId="0" pivotButton="0" quotePrefix="0" xfId="0"/>
    <xf numFmtId="0" fontId="9" fillId="0" borderId="3" pivotButton="0" quotePrefix="0" xfId="0"/>
    <xf numFmtId="0" fontId="22" fillId="7" borderId="0" pivotButton="0" quotePrefix="0" xfId="0"/>
    <xf numFmtId="0" fontId="0" fillId="0" borderId="3" pivotButton="0" quotePrefix="0" xfId="0"/>
    <xf numFmtId="0" fontId="0" fillId="0" borderId="4" pivotButton="0" quotePrefix="0" xfId="0"/>
    <xf numFmtId="0" fontId="8" fillId="8" borderId="2" pivotButton="0" quotePrefix="0" xfId="0"/>
    <xf numFmtId="0" fontId="16" fillId="16" borderId="2" applyAlignment="1" pivotButton="0" quotePrefix="0" xfId="0">
      <alignment horizontal="center" vertical="center" wrapText="1"/>
    </xf>
    <xf numFmtId="0" fontId="4" fillId="16" borderId="0" applyAlignment="1" pivotButton="0" quotePrefix="0" xfId="0">
      <alignment horizontal="left" vertical="center"/>
    </xf>
    <xf numFmtId="0" fontId="0" fillId="0" borderId="5" pivotButton="0" quotePrefix="0" xfId="0"/>
    <xf numFmtId="0" fontId="6" fillId="0" borderId="6" applyAlignment="1" pivotButton="0" quotePrefix="0" xfId="0">
      <alignment horizontal="left" vertical="center" wrapText="1"/>
    </xf>
    <xf numFmtId="0" fontId="9" fillId="0" borderId="7" pivotButton="0" quotePrefix="0" xfId="0"/>
    <xf numFmtId="0" fontId="0" fillId="0" borderId="7" pivotButton="0" quotePrefix="0" xfId="0"/>
    <xf numFmtId="0" fontId="3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 wrapText="1"/>
    </xf>
    <xf numFmtId="0" fontId="5" fillId="7" borderId="0" pivotButton="0" quotePrefix="0" xfId="0"/>
    <xf numFmtId="0" fontId="0" fillId="0" borderId="2" pivotButton="0" quotePrefix="0" xfId="0"/>
    <xf numFmtId="0" fontId="23" fillId="2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23" fillId="11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23" fillId="3" borderId="0" applyAlignment="1" pivotButton="0" quotePrefix="0" xfId="0">
      <alignment horizontal="center" vertical="center"/>
    </xf>
    <xf numFmtId="0" fontId="16" fillId="3" borderId="2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 wrapText="1"/>
    </xf>
    <xf numFmtId="0" fontId="2" fillId="7" borderId="0" pivotButton="0" quotePrefix="0" xfId="0"/>
    <xf numFmtId="0" fontId="9" fillId="0" borderId="0" applyAlignment="1" pivotButton="0" quotePrefix="0" xfId="0">
      <alignment horizontal="left" vertical="center" wrapText="1"/>
    </xf>
    <xf numFmtId="0" fontId="0" fillId="0" borderId="8" pivotButton="0" quotePrefix="0" xfId="0"/>
  </cellXfs>
  <cellStyles count="1">
    <cellStyle name="Normal" xfId="0" builtinId="0" hidden="0"/>
  </cellStyles>
  <dxfs count="3">
    <dxf>
      <fill>
        <patternFill patternType="solid">
          <fgColor rgb="00FF0000"/>
        </patternFill>
      </fill>
    </dxf>
    <dxf>
      <fill>
        <patternFill patternType="solid">
          <fgColor rgb="00FFC000"/>
        </patternFill>
      </fill>
    </dxf>
    <dxf>
      <fill>
        <patternFill patternType="solid">
          <fgColor rgb="0000B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styles" Target="styles.xml" Id="rId82" /><Relationship Type="http://schemas.openxmlformats.org/officeDocument/2006/relationships/theme" Target="theme/theme1.xml" Id="rId83" /></Relationships>
</file>

<file path=xl/tables/table1.xml><?xml version="1.0" encoding="utf-8"?>
<table xmlns="http://schemas.openxmlformats.org/spreadsheetml/2006/main" id="1" name="tbl_OffenceClassMap" displayName="tbl_OffenceClassMap" ref="A1:E22" headerRowCount="1">
  <autoFilter ref="A1:E22"/>
  <tableColumns count="5">
    <tableColumn id="1" name="OffenceCode"/>
    <tableColumn id="2" name="OffenceDescription"/>
    <tableColumn id="3" name="Category"/>
    <tableColumn id="4" name="FNID_Relevant"/>
    <tableColumn id="5" name="AutoRouteToFNID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_ForensicRouting" displayName="tbl_ForensicRouting" ref="A1:E13" headerRowCount="1">
  <autoFilter ref="A1:E13"/>
  <tableColumns count="5">
    <tableColumn id="1" name="EvidenceType"/>
    <tableColumn id="2" name="RecommendedForensicAgency"/>
    <tableColumn id="3" name="TestType"/>
    <tableColumn id="4" name="ExpectedTurnaround_Days"/>
    <tableColumn id="5" name="Note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_EvidenceUseMap" displayName="tbl_EvidenceUseMap" ref="A1:E12" headerRowCount="1">
  <autoFilter ref="A1:E12"/>
  <tableColumns count="5">
    <tableColumn id="1" name="EvidenceType"/>
    <tableColumn id="2" name="EvidentialUse"/>
    <tableColumn id="3" name="CaseElement_Supported"/>
    <tableColumn id="4" name="LegalRequirement"/>
    <tableColumn id="5" name="Note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_Cases" displayName="tbl_Cases" ref="A1:BF6" headerRowCount="1">
  <autoFilter ref="A1:BF6"/>
  <tableColumns count="58">
    <tableColumn id="1" name="CaseID"/>
    <tableColumn id="2" name="CR1_Number"/>
    <tableColumn id="3" name="CR2_Number"/>
    <tableColumn id="4" name="CR5_Number"/>
    <tableColumn id="5" name="DateReceived"/>
    <tableColumn id="6" name="OffenceType"/>
    <tableColumn id="7" name="OffenceDescription"/>
    <tableColumn id="8" name="Parish"/>
    <tableColumn id="9" name="Station"/>
    <tableColumn id="10" name="Complainant"/>
    <tableColumn id="11" name="Suspect"/>
    <tableColumn id="12" name="InvestigatorAssigned"/>
    <tableColumn id="13" name="Unit"/>
    <tableColumn id="14" name="Priority"/>
    <tableColumn id="15" name="CaseStatus"/>
    <tableColumn id="16" name="SupervisorReview"/>
    <tableColumn id="17" name="ReviewDate"/>
    <tableColumn id="18" name="NextActionDue"/>
    <tableColumn id="19" name="ComplianceFlag"/>
    <tableColumn id="20" name="CR1_Compliant"/>
    <tableColumn id="21" name="CR2_Compliant"/>
    <tableColumn id="22" name="CR5_Compliant"/>
    <tableColumn id="23" name="FCSI_Flag"/>
    <tableColumn id="24" name="LinkedLeadID"/>
    <tableColumn id="25" name="LinkedOpsID"/>
    <tableColumn id="26" name="Notes"/>
    <tableColumn id="27" name="CreatedBy"/>
    <tableColumn id="28" name="CreatedDate"/>
    <tableColumn id="29" name="LastUpdatedBy"/>
    <tableColumn id="30" name="LastUpdatedDate"/>
    <tableColumn id="31" name="Week"/>
    <tableColumn id="32" name="Month"/>
    <tableColumn id="33" name="Quarter"/>
    <tableColumn id="34" name="Year"/>
    <tableColumn id="35" name="IncidentDate"/>
    <tableColumn id="36" name="RegistrationSLA_Hrs"/>
    <tableColumn id="37" name="StationDiaryRef"/>
    <tableColumn id="38" name="InvestigationPlanID"/>
    <tableColumn id="39" name="InvestigatorChangeCount"/>
    <tableColumn id="40" name="LastReviewDate"/>
    <tableColumn id="41" name="NextReviewDue"/>
    <tableColumn id="42" name="ReviewInterval"/>
    <tableColumn id="43" name="TotalStatements"/>
    <tableColumn id="44" name="TotalWitnesses"/>
    <tableColumn id="45" name="TotalExhibits"/>
    <tableColumn id="46" name="FileCompletenessScore"/>
    <tableColumn id="47" name="VictimLastContacted"/>
    <tableColumn id="48" name="VictimNextContact"/>
    <tableColumn id="49" name="ChargeDate"/>
    <tableColumn id="50" name="ChargeDeadline_48hr"/>
    <tableColumn id="51" name="ChargeDeadlineMet"/>
    <tableColumn id="52" name="DisposalType"/>
    <tableColumn id="53" name="DisposalDate"/>
    <tableColumn id="54" name="DisposalApprovedBy"/>
    <tableColumn id="55" name="FileLocation"/>
    <tableColumn id="56" name="ArchiveRef"/>
    <tableColumn id="57" name="DaysOpen"/>
    <tableColumn id="58" name="AgingBand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_Actions" displayName="tbl_Actions" ref="A1:T6" headerRowCount="1">
  <autoFilter ref="A1:T6"/>
  <tableColumns count="20">
    <tableColumn id="1" name="ActionID"/>
    <tableColumn id="2" name="CaseID"/>
    <tableColumn id="3" name="ActionType"/>
    <tableColumn id="4" name="Description"/>
    <tableColumn id="5" name="AssignedTo"/>
    <tableColumn id="6" name="Unit"/>
    <tableColumn id="7" name="DueDate"/>
    <tableColumn id="8" name="CompletedDate"/>
    <tableColumn id="9" name="Status"/>
    <tableColumn id="10" name="Priority"/>
    <tableColumn id="11" name="Outcome"/>
    <tableColumn id="12" name="Notes"/>
    <tableColumn id="13" name="CreatedBy"/>
    <tableColumn id="14" name="CreatedDate"/>
    <tableColumn id="15" name="LastUpdatedBy"/>
    <tableColumn id="16" name="LastUpdatedDate"/>
    <tableColumn id="17" name="Week"/>
    <tableColumn id="18" name="Month"/>
    <tableColumn id="19" name="Quarter"/>
    <tableColumn id="20" name="Year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bl_Reviews" displayName="tbl_Reviews" ref="A1:Y6" headerRowCount="1">
  <autoFilter ref="A1:Y6"/>
  <tableColumns count="25">
    <tableColumn id="1" name="ReviewID"/>
    <tableColumn id="2" name="CaseID"/>
    <tableColumn id="3" name="ReviewType"/>
    <tableColumn id="4" name="Reviewer"/>
    <tableColumn id="5" name="ReviewDate"/>
    <tableColumn id="6" name="DueDate"/>
    <tableColumn id="7" name="Findings"/>
    <tableColumn id="8" name="Recommendations"/>
    <tableColumn id="9" name="Status"/>
    <tableColumn id="10" name="ComplianceStatus"/>
    <tableColumn id="11" name="CreatedBy"/>
    <tableColumn id="12" name="CreatedDate"/>
    <tableColumn id="13" name="LastUpdatedBy"/>
    <tableColumn id="14" name="LastUpdatedDate"/>
    <tableColumn id="15" name="MandatoryReviewType"/>
    <tableColumn id="16" name="ReviewInterval_Days"/>
    <tableColumn id="17" name="DirectivesIssued"/>
    <tableColumn id="18" name="DirectiveAssignedTo"/>
    <tableColumn id="19" name="DirectiveDueDate"/>
    <tableColumn id="20" name="DirectiveStatus"/>
    <tableColumn id="21" name="DirectiveCompletedDate"/>
    <tableColumn id="22" name="EscalationRequired"/>
    <tableColumn id="23" name="EscalatedTo"/>
    <tableColumn id="24" name="NextReviewDue"/>
    <tableColumn id="25" name="CaseDaysOpenAtReview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bl_DiaryEntries" displayName="tbl_DiaryEntries" ref="A1:M6" headerRowCount="1">
  <autoFilter ref="A1:M6"/>
  <tableColumns count="13">
    <tableColumn id="1" name="DiaryID"/>
    <tableColumn id="2" name="CaseID"/>
    <tableColumn id="3" name="EntryDate"/>
    <tableColumn id="4" name="EntryTime"/>
    <tableColumn id="5" name="EnteredBy"/>
    <tableColumn id="6" name="Unit"/>
    <tableColumn id="7" name="DiaryNarrative"/>
    <tableColumn id="8" name="ActionTaken"/>
    <tableColumn id="9" name="NextSteps"/>
    <tableColumn id="10" name="CreatedBy"/>
    <tableColumn id="11" name="CreatedDate"/>
    <tableColumn id="12" name="LastUpdatedBy"/>
    <tableColumn id="13" name="LastUpdatedDate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bl_RadioMessages" displayName="tbl_RadioMessages" ref="A1:M6" headerRowCount="1">
  <autoFilter ref="A1:M6"/>
  <tableColumns count="13">
    <tableColumn id="1" name="MessageID"/>
    <tableColumn id="2" name="Date"/>
    <tableColumn id="3" name="Time"/>
    <tableColumn id="4" name="From"/>
    <tableColumn id="5" name="To"/>
    <tableColumn id="6" name="Priority"/>
    <tableColumn id="7" name="Subject"/>
    <tableColumn id="8" name="MessageBody"/>
    <tableColumn id="9" name="ActionRequired"/>
    <tableColumn id="10" name="LinkedCaseID"/>
    <tableColumn id="11" name="LinkedLeadID"/>
    <tableColumn id="12" name="CreatedBy"/>
    <tableColumn id="13" name="CreatedDate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tbl_Persons" displayName="tbl_Persons" ref="A1:T6" headerRowCount="1">
  <autoFilter ref="A1:T6"/>
  <tableColumns count="20">
    <tableColumn id="1" name="PersonID"/>
    <tableColumn id="2" name="FullName"/>
    <tableColumn id="3" name="Alias"/>
    <tableColumn id="4" name="DOB"/>
    <tableColumn id="5" name="Gender"/>
    <tableColumn id="6" name="Address"/>
    <tableColumn id="7" name="Parish"/>
    <tableColumn id="8" name="Phone"/>
    <tableColumn id="9" name="ID_Type"/>
    <tableColumn id="10" name="ID_Number"/>
    <tableColumn id="11" name="Role"/>
    <tableColumn id="12" name="LinkedCaseID"/>
    <tableColumn id="13" name="LinkedLeadID"/>
    <tableColumn id="14" name="RiskLevel"/>
    <tableColumn id="15" name="Notes"/>
    <tableColumn id="16" name="PhotoRef"/>
    <tableColumn id="17" name="CreatedBy"/>
    <tableColumn id="18" name="CreatedDate"/>
    <tableColumn id="19" name="LastUpdatedBy"/>
    <tableColumn id="20" name="LastUpdatedDate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tbl_MCR_Raw" displayName="tbl_MCR_Raw" ref="A1:V6" headerRowCount="1">
  <autoFilter ref="A1:V6"/>
  <tableColumns count="22">
    <tableColumn id="1" name="MCR_ID"/>
    <tableColumn id="2" name="MCR_Date"/>
    <tableColumn id="3" name="ReportingStation"/>
    <tableColumn id="4" name="Parish"/>
    <tableColumn id="5" name="OffenceCode"/>
    <tableColumn id="6" name="OffenceDescription"/>
    <tableColumn id="7" name="Complainant"/>
    <tableColumn id="8" name="Location"/>
    <tableColumn id="9" name="Suspect"/>
    <tableColumn id="10" name="Summary"/>
    <tableColumn id="11" name="FNID_Relevant"/>
    <tableColumn id="12" name="AutoRouted"/>
    <tableColumn id="13" name="RoutedDate"/>
    <tableColumn id="14" name="TriageStatus"/>
    <tableColumn id="15" name="LinkedLeadID"/>
    <tableColumn id="16" name="Notes"/>
    <tableColumn id="17" name="CreatedBy"/>
    <tableColumn id="18" name="CreatedDate"/>
    <tableColumn id="19" name="Week"/>
    <tableColumn id="20" name="Month"/>
    <tableColumn id="21" name="Quarter"/>
    <tableColumn id="22" name="Year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tbl_Leads" displayName="tbl_Leads" ref="A1:AE6" headerRowCount="1">
  <autoFilter ref="A1:AE6"/>
  <tableColumns count="31">
    <tableColumn id="1" name="LeadID"/>
    <tableColumn id="2" name="DateReceived"/>
    <tableColumn id="3" name="Source"/>
    <tableColumn id="4" name="SourceDetail"/>
    <tableColumn id="5" name="Parish"/>
    <tableColumn id="6" name="Station"/>
    <tableColumn id="7" name="Subject"/>
    <tableColumn id="8" name="Summary"/>
    <tableColumn id="9" name="Credibility"/>
    <tableColumn id="10" name="Priority"/>
    <tableColumn id="11" name="RiskScore"/>
    <tableColumn id="12" name="TriageDecision"/>
    <tableColumn id="13" name="TriageDate"/>
    <tableColumn id="14" name="AssignedTo"/>
    <tableColumn id="15" name="Unit"/>
    <tableColumn id="16" name="Outcome"/>
    <tableColumn id="17" name="OutcomeDate"/>
    <tableColumn id="18" name="ConvertedToCaseID"/>
    <tableColumn id="19" name="ConvertedToOpsID"/>
    <tableColumn id="20" name="FollowUpRequired"/>
    <tableColumn id="21" name="FollowUpDueDate"/>
    <tableColumn id="22" name="FCSI_Flag"/>
    <tableColumn id="23" name="Notes"/>
    <tableColumn id="24" name="CreatedBy"/>
    <tableColumn id="25" name="CreatedDate"/>
    <tableColumn id="26" name="LastUpdatedBy"/>
    <tableColumn id="27" name="LastUpdatedDate"/>
    <tableColumn id="28" name="Week"/>
    <tableColumn id="29" name="Month"/>
    <tableColumn id="30" name="Quarter"/>
    <tableColumn id="31" name="Year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2" name="tbl_FollowUpRecs" displayName="tbl_FollowUpRecs" ref="A1:O6" headerRowCount="1">
  <autoFilter ref="A1:O6"/>
  <tableColumns count="15">
    <tableColumn id="1" name="RecID"/>
    <tableColumn id="2" name="LeadID"/>
    <tableColumn id="3" name="RecommendedBy"/>
    <tableColumn id="4" name="RecommendationDate"/>
    <tableColumn id="5" name="Recommendation"/>
    <tableColumn id="6" name="Priority"/>
    <tableColumn id="7" name="AssignedTo"/>
    <tableColumn id="8" name="DueDate"/>
    <tableColumn id="9" name="Status"/>
    <tableColumn id="10" name="Outcome"/>
    <tableColumn id="11" name="Notes"/>
    <tableColumn id="12" name="CreatedBy"/>
    <tableColumn id="13" name="CreatedDate"/>
    <tableColumn id="14" name="LastUpdatedBy"/>
    <tableColumn id="15" name="LastUpdatedDate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3" name="tbl_IntelBriefings" displayName="tbl_IntelBriefings" ref="A1:P6" headerRowCount="1">
  <autoFilter ref="A1:P6"/>
  <tableColumns count="16">
    <tableColumn id="1" name="BriefingID"/>
    <tableColumn id="2" name="BriefingDate"/>
    <tableColumn id="3" name="BriefingTime"/>
    <tableColumn id="4" name="Presenter"/>
    <tableColumn id="5" name="Audience"/>
    <tableColumn id="6" name="Topic"/>
    <tableColumn id="7" name="KeyFindings"/>
    <tableColumn id="8" name="ActionItems"/>
    <tableColumn id="9" name="LinkedLeadIDs"/>
    <tableColumn id="10" name="LinkedCaseIDs"/>
    <tableColumn id="11" name="AttendeeCount"/>
    <tableColumn id="12" name="Notes"/>
    <tableColumn id="13" name="CreatedBy"/>
    <tableColumn id="14" name="CreatedDate"/>
    <tableColumn id="15" name="LastUpdatedBy"/>
    <tableColumn id="16" name="LastUpdatedDate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4" name="tbl_Operations" displayName="tbl_Operations" ref="A1:AK6" headerRowCount="1">
  <autoFilter ref="A1:AK6"/>
  <tableColumns count="37">
    <tableColumn id="1" name="OPS_ID"/>
    <tableColumn id="2" name="OpsDate"/>
    <tableColumn id="3" name="OpsType"/>
    <tableColumn id="4" name="OpsName"/>
    <tableColumn id="5" name="Parish"/>
    <tableColumn id="6" name="Station"/>
    <tableColumn id="7" name="Location"/>
    <tableColumn id="8" name="TeamLead"/>
    <tableColumn id="9" name="TeamSize"/>
    <tableColumn id="10" name="Unit"/>
    <tableColumn id="11" name="FCSI_Flag"/>
    <tableColumn id="12" name="FCSI_Hotspot"/>
    <tableColumn id="13" name="WarrantNumber"/>
    <tableColumn id="14" name="TargetDescription"/>
    <tableColumn id="15" name="Searches"/>
    <tableColumn id="16" name="Arrests"/>
    <tableColumn id="17" name="FirearmsSeized"/>
    <tableColumn id="18" name="AmmunitionSeized"/>
    <tableColumn id="19" name="NarcoticsSeized_kg"/>
    <tableColumn id="20" name="CashSeized"/>
    <tableColumn id="21" name="OtherSeizures"/>
    <tableColumn id="22" name="IntelGained"/>
    <tableColumn id="23" name="LinkedLeadID"/>
    <tableColumn id="24" name="LinkedCaseID"/>
    <tableColumn id="25" name="Outcome"/>
    <tableColumn id="26" name="OutcomeNotes"/>
    <tableColumn id="27" name="StartTime"/>
    <tableColumn id="28" name="EndTime"/>
    <tableColumn id="29" name="Notes"/>
    <tableColumn id="30" name="CreatedBy"/>
    <tableColumn id="31" name="CreatedDate"/>
    <tableColumn id="32" name="LastUpdatedBy"/>
    <tableColumn id="33" name="LastUpdatedDate"/>
    <tableColumn id="34" name="Week"/>
    <tableColumn id="35" name="Month"/>
    <tableColumn id="36" name="Quarter"/>
    <tableColumn id="37" name="Year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5" name="tbl_Exhibits" displayName="tbl_Exhibits" ref="A1:AI6" headerRowCount="1">
  <autoFilter ref="A1:AI6"/>
  <tableColumns count="35">
    <tableColumn id="1" name="ExhibitID"/>
    <tableColumn id="2" name="LinkedCaseID"/>
    <tableColumn id="3" name="LinkedOpsID"/>
    <tableColumn id="4" name="DateCollected"/>
    <tableColumn id="5" name="CollectedBy"/>
    <tableColumn id="6" name="EvidenceType"/>
    <tableColumn id="7" name="Description"/>
    <tableColumn id="8" name="Quantity"/>
    <tableColumn id="9" name="Unit_Measure"/>
    <tableColumn id="10" name="StorageLocation"/>
    <tableColumn id="11" name="ChainOfCustody_Log"/>
    <tableColumn id="12" name="CurrentCustodian"/>
    <tableColumn id="13" name="ForensicAgency"/>
    <tableColumn id="14" name="ForensicTestType"/>
    <tableColumn id="15" name="SubmissionDate"/>
    <tableColumn id="16" name="ExpectedReturn"/>
    <tableColumn id="17" name="ActualReturnDate"/>
    <tableColumn id="18" name="AnalysisStatus"/>
    <tableColumn id="19" name="ForensicResult"/>
    <tableColumn id="20" name="TurnaroundDays"/>
    <tableColumn id="21" name="EvidentialUse"/>
    <tableColumn id="22" name="CaseElementSupported"/>
    <tableColumn id="23" name="CourtReadiness"/>
    <tableColumn id="24" name="CourtDate"/>
    <tableColumn id="25" name="DisposalDate"/>
    <tableColumn id="26" name="DisposalMethod"/>
    <tableColumn id="27" name="Notes"/>
    <tableColumn id="28" name="CreatedBy"/>
    <tableColumn id="29" name="CreatedDate"/>
    <tableColumn id="30" name="LastUpdatedBy"/>
    <tableColumn id="31" name="LastUpdatedDate"/>
    <tableColumn id="32" name="Week"/>
    <tableColumn id="33" name="Month"/>
    <tableColumn id="34" name="Quarter"/>
    <tableColumn id="35" name="Year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bl_Vehicles" displayName="tbl_Vehicles" ref="A1:U6" headerRowCount="1">
  <autoFilter ref="A1:U6"/>
  <tableColumns count="21">
    <tableColumn id="1" name="VehicleID"/>
    <tableColumn id="2" name="RegistrationNo"/>
    <tableColumn id="3" name="Make"/>
    <tableColumn id="4" name="Model"/>
    <tableColumn id="5" name="Year"/>
    <tableColumn id="6" name="VehicleType"/>
    <tableColumn id="7" name="AssignedUnit"/>
    <tableColumn id="8" name="AssignedStation"/>
    <tableColumn id="9" name="CurrentStatus"/>
    <tableColumn id="10" name="Mileage"/>
    <tableColumn id="11" name="LastServiceDate"/>
    <tableColumn id="12" name="NextServiceDue"/>
    <tableColumn id="13" name="InsuranceExpiry"/>
    <tableColumn id="14" name="FitnessExpiry"/>
    <tableColumn id="15" name="FuelType"/>
    <tableColumn id="16" name="TankCapacity_L"/>
    <tableColumn id="17" name="Notes"/>
    <tableColumn id="18" name="CreatedBy"/>
    <tableColumn id="19" name="CreatedDate"/>
    <tableColumn id="20" name="LastUpdatedBy"/>
    <tableColumn id="21" name="LastUpdatedDate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7" name="tbl_VehicleUsage" displayName="tbl_VehicleUsage" ref="A1:U6" headerRowCount="1">
  <autoFilter ref="A1:U6"/>
  <tableColumns count="21">
    <tableColumn id="1" name="UsageID"/>
    <tableColumn id="2" name="VehicleID"/>
    <tableColumn id="3" name="Date"/>
    <tableColumn id="4" name="Driver"/>
    <tableColumn id="5" name="Purpose"/>
    <tableColumn id="6" name="LinkedOpsID"/>
    <tableColumn id="7" name="LinkedCaseID"/>
    <tableColumn id="8" name="DepartureTime"/>
    <tableColumn id="9" name="ReturnTime"/>
    <tableColumn id="10" name="StartMileage"/>
    <tableColumn id="11" name="EndMileage"/>
    <tableColumn id="12" name="DistanceKm"/>
    <tableColumn id="13" name="Unit"/>
    <tableColumn id="14" name="Parish"/>
    <tableColumn id="15" name="Notes"/>
    <tableColumn id="16" name="CreatedBy"/>
    <tableColumn id="17" name="CreatedDate"/>
    <tableColumn id="18" name="Week"/>
    <tableColumn id="19" name="Month"/>
    <tableColumn id="20" name="Quarter"/>
    <tableColumn id="21" name="Year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bl_FuelLog" displayName="tbl_FuelLog" ref="A1:Q6" headerRowCount="1">
  <autoFilter ref="A1:Q6"/>
  <tableColumns count="17">
    <tableColumn id="1" name="FuelID"/>
    <tableColumn id="2" name="VehicleID"/>
    <tableColumn id="3" name="Date"/>
    <tableColumn id="4" name="Driver"/>
    <tableColumn id="5" name="FuelType"/>
    <tableColumn id="6" name="Litres"/>
    <tableColumn id="7" name="Cost"/>
    <tableColumn id="8" name="Mileage_AtFill"/>
    <tableColumn id="9" name="Station"/>
    <tableColumn id="10" name="ReceiptNo"/>
    <tableColumn id="11" name="Notes"/>
    <tableColumn id="12" name="CreatedBy"/>
    <tableColumn id="13" name="CreatedDate"/>
    <tableColumn id="14" name="Week"/>
    <tableColumn id="15" name="Month"/>
    <tableColumn id="16" name="Quarter"/>
    <tableColumn id="17" name="Year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9" name="tbl_Maintenance" displayName="tbl_Maintenance" ref="A1:Q6" headerRowCount="1">
  <autoFilter ref="A1:Q6"/>
  <tableColumns count="17">
    <tableColumn id="1" name="MaintID"/>
    <tableColumn id="2" name="VehicleID"/>
    <tableColumn id="3" name="MaintenanceType"/>
    <tableColumn id="4" name="Description"/>
    <tableColumn id="5" name="ServiceProvider"/>
    <tableColumn id="6" name="DateIn"/>
    <tableColumn id="7" name="DateOut"/>
    <tableColumn id="8" name="Cost"/>
    <tableColumn id="9" name="Mileage"/>
    <tableColumn id="10" name="PartsReplaced"/>
    <tableColumn id="11" name="NextServiceDue"/>
    <tableColumn id="12" name="DowntimeDays"/>
    <tableColumn id="13" name="Notes"/>
    <tableColumn id="14" name="CreatedBy"/>
    <tableColumn id="15" name="CreatedDate"/>
    <tableColumn id="16" name="LastUpdatedBy"/>
    <tableColumn id="17" name="LastUpdatedDate"/>
  </tableColumns>
  <tableStyleInfo name="TableStyleMedium9" showFirstColumn="0" showLastColumn="0" showRowStripes="1" showColumnStripes="0"/>
</table>
</file>

<file path=xl/tables/table20.xml><?xml version="1.0" encoding="utf-8"?>
<table xmlns="http://schemas.openxmlformats.org/spreadsheetml/2006/main" id="20" name="tbl_Drivers" displayName="tbl_Drivers" ref="A1:Q6" headerRowCount="1">
  <autoFilter ref="A1:Q6"/>
  <tableColumns count="17">
    <tableColumn id="1" name="DriverID"/>
    <tableColumn id="2" name="FullName"/>
    <tableColumn id="3" name="Rank"/>
    <tableColumn id="4" name="BadgeNo"/>
    <tableColumn id="5" name="Unit"/>
    <tableColumn id="6" name="Station"/>
    <tableColumn id="7" name="LicenseNo"/>
    <tableColumn id="8" name="LicenseExpiry"/>
    <tableColumn id="9" name="LicenseClass"/>
    <tableColumn id="10" name="DefensiveDrivingCert"/>
    <tableColumn id="11" name="CertExpiry"/>
    <tableColumn id="12" name="Status"/>
    <tableColumn id="13" name="Notes"/>
    <tableColumn id="14" name="CreatedBy"/>
    <tableColumn id="15" name="CreatedDate"/>
    <tableColumn id="16" name="LastUpdatedBy"/>
    <tableColumn id="17" name="LastUpdatedDate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id="21" name="tbl_DemandReduction" displayName="tbl_DemandReduction" ref="A1:AA6" headerRowCount="1">
  <autoFilter ref="A1:AA6"/>
  <tableColumns count="27">
    <tableColumn id="1" name="LectureID"/>
    <tableColumn id="2" name="Date"/>
    <tableColumn id="3" name="Location"/>
    <tableColumn id="4" name="Parish"/>
    <tableColumn id="5" name="Community"/>
    <tableColumn id="6" name="Venue"/>
    <tableColumn id="7" name="Topic"/>
    <tableColumn id="8" name="Presenter"/>
    <tableColumn id="9" name="TargetAudience"/>
    <tableColumn id="10" name="Attendance"/>
    <tableColumn id="11" name="Duration_Hrs"/>
    <tableColumn id="12" name="MaterialsUsed"/>
    <tableColumn id="13" name="PartnerOrganizations"/>
    <tableColumn id="14" name="Outcome"/>
    <tableColumn id="15" name="Feedback"/>
    <tableColumn id="16" name="FollowUpPlanned"/>
    <tableColumn id="17" name="FollowUpDate"/>
    <tableColumn id="18" name="Photos_YN"/>
    <tableColumn id="19" name="Notes"/>
    <tableColumn id="20" name="CreatedBy"/>
    <tableColumn id="21" name="CreatedDate"/>
    <tableColumn id="22" name="LastUpdatedBy"/>
    <tableColumn id="23" name="LastUpdatedDate"/>
    <tableColumn id="24" name="Week"/>
    <tableColumn id="25" name="Month"/>
    <tableColumn id="26" name="Quarter"/>
    <tableColumn id="27" name="Year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id="22" name="tbl_UnitPlans" displayName="tbl_UnitPlans" ref="A1:AC57" headerRowCount="1">
  <autoFilter ref="A1:AC57"/>
  <tableColumns count="29">
    <tableColumn id="1" name="PlanID"/>
    <tableColumn id="2" name="Unit"/>
    <tableColumn id="3" name="StrategicObjective"/>
    <tableColumn id="4" name="KPI_Name"/>
    <tableColumn id="5" name="KPI_Description"/>
    <tableColumn id="6" name="Frequency"/>
    <tableColumn id="7" name="Target_Daily"/>
    <tableColumn id="8" name="Target_Monthly"/>
    <tableColumn id="9" name="Target_Quarterly"/>
    <tableColumn id="10" name="Target_Annual"/>
    <tableColumn id="11" name="Actual_MTD"/>
    <tableColumn id="12" name="Actual_QTD"/>
    <tableColumn id="13" name="Actual_YTD"/>
    <tableColumn id="14" name="Variance_Monthly"/>
    <tableColumn id="15" name="Variance_Quarterly"/>
    <tableColumn id="16" name="Variance_Annual"/>
    <tableColumn id="17" name="Achievement_Pct_Monthly"/>
    <tableColumn id="18" name="Achievement_Pct_Quarterly"/>
    <tableColumn id="19" name="Achievement_Pct_Annual"/>
    <tableColumn id="20" name="TrafficLight_Monthly"/>
    <tableColumn id="21" name="TrafficLight_Quarterly"/>
    <tableColumn id="22" name="TrafficLight_Annual"/>
    <tableColumn id="23" name="DataSource"/>
    <tableColumn id="24" name="Formula_Reference"/>
    <tableColumn id="25" name="Notes"/>
    <tableColumn id="26" name="CreatedBy"/>
    <tableColumn id="27" name="CreatedDate"/>
    <tableColumn id="28" name="LastUpdatedBy"/>
    <tableColumn id="29" name="LastUpdatedDate"/>
  </tableColumns>
  <tableStyleInfo name="TableStyleMedium9" showFirstColumn="0" showLastColumn="0" showRowStripes="1" showColumnStripes="0"/>
</table>
</file>

<file path=xl/tables/table23.xml><?xml version="1.0" encoding="utf-8"?>
<table xmlns="http://schemas.openxmlformats.org/spreadsheetml/2006/main" id="23" name="tbl_Personnel" displayName="tbl_Personnel" ref="A1:X6" headerRowCount="1">
  <autoFilter ref="A1:X6"/>
  <tableColumns count="24">
    <tableColumn id="1" name="PersonnelID"/>
    <tableColumn id="2" name="FullName"/>
    <tableColumn id="3" name="Rank"/>
    <tableColumn id="4" name="BadgeNo"/>
    <tableColumn id="5" name="Unit"/>
    <tableColumn id="6" name="Station"/>
    <tableColumn id="7" name="DateOfEnlistment"/>
    <tableColumn id="8" name="DatePostedToFNID"/>
    <tableColumn id="9" name="CurrentRole"/>
    <tableColumn id="10" name="Specialization"/>
    <tableColumn id="11" name="Status"/>
    <tableColumn id="12" name="Phone"/>
    <tableColumn id="13" name="Email"/>
    <tableColumn id="14" name="EmergencyContact"/>
    <tableColumn id="15" name="QualificationsHeld"/>
    <tableColumn id="16" name="LastTrainingDate"/>
    <tableColumn id="17" name="NextTrainingDue"/>
    <tableColumn id="18" name="PerformanceRating"/>
    <tableColumn id="19" name="DisciplinaryFlag"/>
    <tableColumn id="20" name="Notes"/>
    <tableColumn id="21" name="CreatedBy"/>
    <tableColumn id="22" name="CreatedDate"/>
    <tableColumn id="23" name="LastUpdatedBy"/>
    <tableColumn id="24" name="LastUpdatedDate"/>
  </tableColumns>
  <tableStyleInfo name="TableStyleMedium9" showFirstColumn="0" showLastColumn="0" showRowStripes="1" showColumnStripes="0"/>
</table>
</file>

<file path=xl/tables/table24.xml><?xml version="1.0" encoding="utf-8"?>
<table xmlns="http://schemas.openxmlformats.org/spreadsheetml/2006/main" id="24" name="tbl_Training" displayName="tbl_Training" ref="A1:X6" headerRowCount="1">
  <autoFilter ref="A1:X6"/>
  <tableColumns count="24">
    <tableColumn id="1" name="TrainingID"/>
    <tableColumn id="2" name="Date"/>
    <tableColumn id="3" name="CourseTitle"/>
    <tableColumn id="4" name="TrainingType"/>
    <tableColumn id="5" name="Trainer"/>
    <tableColumn id="6" name="Location"/>
    <tableColumn id="7" name="Duration_Hrs"/>
    <tableColumn id="8" name="Attendees"/>
    <tableColumn id="9" name="AttendeeNames"/>
    <tableColumn id="10" name="CertificateIssued"/>
    <tableColumn id="11" name="ExpiryDate"/>
    <tableColumn id="12" name="LinkedUnit"/>
    <tableColumn id="13" name="CostJMD"/>
    <tableColumn id="14" name="FundingSource"/>
    <tableColumn id="15" name="Outcome"/>
    <tableColumn id="16" name="Notes"/>
    <tableColumn id="17" name="CreatedBy"/>
    <tableColumn id="18" name="CreatedDate"/>
    <tableColumn id="19" name="LastUpdatedBy"/>
    <tableColumn id="20" name="LastUpdatedDate"/>
    <tableColumn id="21" name="Week"/>
    <tableColumn id="22" name="Month"/>
    <tableColumn id="23" name="Quarter"/>
    <tableColumn id="24" name="Year"/>
  </tableColumns>
  <tableStyleInfo name="TableStyleMedium9" showFirstColumn="0" showLastColumn="0" showRowStripes="1" showColumnStripes="0"/>
</table>
</file>

<file path=xl/tables/table25.xml><?xml version="1.0" encoding="utf-8"?>
<table xmlns="http://schemas.openxmlformats.org/spreadsheetml/2006/main" id="25" name="tbl_CourtDates" displayName="tbl_CourtDates" ref="A1:AG6" headerRowCount="1">
  <autoFilter ref="A1:AG6"/>
  <tableColumns count="33">
    <tableColumn id="1" name="CourtID"/>
    <tableColumn id="2" name="LinkedCaseID"/>
    <tableColumn id="3" name="CourtName"/>
    <tableColumn id="4" name="CourtType"/>
    <tableColumn id="5" name="HearingDate"/>
    <tableColumn id="6" name="HearingTime"/>
    <tableColumn id="7" name="HearingType"/>
    <tableColumn id="8" name="JudgeMagistrate"/>
    <tableColumn id="9" name="Prosecutor"/>
    <tableColumn id="10" name="DefenseAttorney"/>
    <tableColumn id="11" name="Defendant"/>
    <tableColumn id="12" name="ChargesSummary"/>
    <tableColumn id="13" name="WitnessesRequired"/>
    <tableColumn id="14" name="WitnessesAttended"/>
    <tableColumn id="15" name="ExhibitsRequired"/>
    <tableColumn id="16" name="Outcome"/>
    <tableColumn id="17" name="AdjournmentReason"/>
    <tableColumn id="18" name="NextHearingDate"/>
    <tableColumn id="19" name="BailStatus"/>
    <tableColumn id="20" name="BailAmount"/>
    <tableColumn id="21" name="RemandStatus"/>
    <tableColumn id="22" name="Verdict"/>
    <tableColumn id="23" name="Sentence"/>
    <tableColumn id="24" name="SentenceDate"/>
    <tableColumn id="25" name="Notes"/>
    <tableColumn id="26" name="CreatedBy"/>
    <tableColumn id="27" name="CreatedDate"/>
    <tableColumn id="28" name="LastUpdatedBy"/>
    <tableColumn id="29" name="LastUpdatedDate"/>
    <tableColumn id="30" name="Week"/>
    <tableColumn id="31" name="Month"/>
    <tableColumn id="32" name="Quarter"/>
    <tableColumn id="33" name="Year"/>
  </tableColumns>
  <tableStyleInfo name="TableStyleMedium9" showFirstColumn="0" showLastColumn="0" showRowStripes="1" showColumnStripes="0"/>
</table>
</file>

<file path=xl/tables/table26.xml><?xml version="1.0" encoding="utf-8"?>
<table xmlns="http://schemas.openxmlformats.org/spreadsheetml/2006/main" id="26" name="tbl_Arrests" displayName="tbl_Arrests" ref="A1:AG6" headerRowCount="1">
  <autoFilter ref="A1:AG6"/>
  <tableColumns count="33">
    <tableColumn id="1" name="ArrestID"/>
    <tableColumn id="2" name="LinkedOpsID"/>
    <tableColumn id="3" name="LinkedCaseID"/>
    <tableColumn id="4" name="ArrestDate"/>
    <tableColumn id="5" name="ArrestTime"/>
    <tableColumn id="6" name="ArrestLocation"/>
    <tableColumn id="7" name="Parish"/>
    <tableColumn id="8" name="Station"/>
    <tableColumn id="9" name="SuspectName"/>
    <tableColumn id="10" name="SuspectDOB"/>
    <tableColumn id="11" name="SuspectAddress"/>
    <tableColumn id="12" name="SuspectGender"/>
    <tableColumn id="13" name="ChargeDescription"/>
    <tableColumn id="14" name="OffenceType"/>
    <tableColumn id="15" name="ArrestingOfficer"/>
    <tableColumn id="16" name="ArrestingOfficerBadge"/>
    <tableColumn id="17" name="CautionGiven"/>
    <tableColumn id="18" name="RightsRead"/>
    <tableColumn id="19" name="BailGranted"/>
    <tableColumn id="20" name="BailAmount"/>
    <tableColumn id="21" name="RemandFacility"/>
    <tableColumn id="22" name="RemandDate"/>
    <tableColumn id="23" name="CourtDate"/>
    <tableColumn id="24" name="Status"/>
    <tableColumn id="25" name="Notes"/>
    <tableColumn id="26" name="CreatedBy"/>
    <tableColumn id="27" name="CreatedDate"/>
    <tableColumn id="28" name="LastUpdatedBy"/>
    <tableColumn id="29" name="LastUpdatedDate"/>
    <tableColumn id="30" name="Week"/>
    <tableColumn id="31" name="Month"/>
    <tableColumn id="32" name="Quarter"/>
    <tableColumn id="33" name="Year"/>
  </tableColumns>
  <tableStyleInfo name="TableStyleMedium9" showFirstColumn="0" showLastColumn="0" showRowStripes="1" showColumnStripes="0"/>
</table>
</file>

<file path=xl/tables/table27.xml><?xml version="1.0" encoding="utf-8"?>
<table xmlns="http://schemas.openxmlformats.org/spreadsheetml/2006/main" id="27" name="tbl_Seizures" displayName="tbl_Seizures" ref="A1:AC6" headerRowCount="1">
  <autoFilter ref="A1:AC6"/>
  <tableColumns count="29">
    <tableColumn id="1" name="SeizureID"/>
    <tableColumn id="2" name="LinkedOpsID"/>
    <tableColumn id="3" name="LinkedCaseID"/>
    <tableColumn id="4" name="LinkedArrestID"/>
    <tableColumn id="5" name="SeizureDate"/>
    <tableColumn id="6" name="SeizureLocation"/>
    <tableColumn id="7" name="Parish"/>
    <tableColumn id="8" name="ItemType"/>
    <tableColumn id="9" name="ItemDescription"/>
    <tableColumn id="10" name="Quantity"/>
    <tableColumn id="11" name="UnitMeasure"/>
    <tableColumn id="12" name="SerialNumber"/>
    <tableColumn id="13" name="Make"/>
    <tableColumn id="14" name="Model"/>
    <tableColumn id="15" name="Calibre"/>
    <tableColumn id="16" name="EstimatedValue"/>
    <tableColumn id="17" name="LinkedExhibitID"/>
    <tableColumn id="18" name="PhotoRef"/>
    <tableColumn id="19" name="SeizedBy"/>
    <tableColumn id="20" name="WitnessPresent"/>
    <tableColumn id="21" name="Notes"/>
    <tableColumn id="22" name="CreatedBy"/>
    <tableColumn id="23" name="CreatedDate"/>
    <tableColumn id="24" name="LastUpdatedBy"/>
    <tableColumn id="25" name="LastUpdatedDate"/>
    <tableColumn id="26" name="Week"/>
    <tableColumn id="27" name="Month"/>
    <tableColumn id="28" name="Quarter"/>
    <tableColumn id="29" name="Year"/>
  </tableColumns>
  <tableStyleInfo name="TableStyleMedium9" showFirstColumn="0" showLastColumn="0" showRowStripes="1" showColumnStripes="0"/>
</table>
</file>

<file path=xl/tables/table28.xml><?xml version="1.0" encoding="utf-8"?>
<table xmlns="http://schemas.openxmlformats.org/spreadsheetml/2006/main" id="28" name="tbl_Warrants" displayName="tbl_Warrants" ref="A1:Y6" headerRowCount="1">
  <autoFilter ref="A1:Y6"/>
  <tableColumns count="25">
    <tableColumn id="1" name="WarrantID"/>
    <tableColumn id="2" name="WarrantType"/>
    <tableColumn id="3" name="LinkedCaseID"/>
    <tableColumn id="4" name="LinkedLeadID"/>
    <tableColumn id="5" name="LinkedOpsID"/>
    <tableColumn id="6" name="ApplicationDate"/>
    <tableColumn id="7" name="IssuedDate"/>
    <tableColumn id="8" name="IssuedBy"/>
    <tableColumn id="9" name="JP_Name"/>
    <tableColumn id="10" name="Court"/>
    <tableColumn id="11" name="TargetName"/>
    <tableColumn id="12" name="TargetAddress"/>
    <tableColumn id="13" name="Parish"/>
    <tableColumn id="14" name="ValidUntil"/>
    <tableColumn id="15" name="ExecutionDate"/>
    <tableColumn id="16" name="ExecutedBy"/>
    <tableColumn id="17" name="ExecutionOutcome"/>
    <tableColumn id="18" name="ReturnToJP_Date"/>
    <tableColumn id="19" name="ReturnToJP_By"/>
    <tableColumn id="20" name="Status"/>
    <tableColumn id="21" name="Notes"/>
    <tableColumn id="22" name="CreatedBy"/>
    <tableColumn id="23" name="CreatedDate"/>
    <tableColumn id="24" name="LastUpdatedBy"/>
    <tableColumn id="25" name="LastUpdatedDate"/>
  </tableColumns>
  <tableStyleInfo name="TableStyleMedium9" showFirstColumn="0" showLastColumn="0" showRowStripes="1" showColumnStripes="0"/>
</table>
</file>

<file path=xl/tables/table29.xml><?xml version="1.0" encoding="utf-8"?>
<table xmlns="http://schemas.openxmlformats.org/spreadsheetml/2006/main" id="29" name="tbl_Informants" displayName="tbl_Informants" ref="A1:Y6" headerRowCount="1">
  <autoFilter ref="A1:Y6"/>
  <tableColumns count="25">
    <tableColumn id="1" name="InformantID"/>
    <tableColumn id="2" name="CodeName"/>
    <tableColumn id="3" name="Handler"/>
    <tableColumn id="4" name="HandlerBadge"/>
    <tableColumn id="5" name="Unit"/>
    <tableColumn id="6" name="RegistrationDate"/>
    <tableColumn id="7" name="Credibility"/>
    <tableColumn id="8" name="Parish"/>
    <tableColumn id="9" name="Area_Coverage"/>
    <tableColumn id="10" name="TotalTipsProvided"/>
    <tableColumn id="11" name="TipsConvertedToCase"/>
    <tableColumn id="12" name="TipsConvertedToOp"/>
    <tableColumn id="13" name="ConversionRate"/>
    <tableColumn id="14" name="LastContactDate"/>
    <tableColumn id="15" name="NextContactDue"/>
    <tableColumn id="16" name="PaymentsToDate"/>
    <tableColumn id="17" name="LastPaymentDate"/>
    <tableColumn id="18" name="LastPaymentAmount"/>
    <tableColumn id="19" name="RiskToInformant"/>
    <tableColumn id="20" name="Status"/>
    <tableColumn id="21" name="Notes"/>
    <tableColumn id="22" name="CreatedBy"/>
    <tableColumn id="23" name="CreatedDate"/>
    <tableColumn id="24" name="LastUpdatedBy"/>
    <tableColumn id="25" name="LastUpdatedDate"/>
  </tableColumns>
  <tableStyleInfo name="TableStyleMedium9" showFirstColumn="0" showLastColumn="0" showRowStripes="1" showColumnStripes="0"/>
</table>
</file>

<file path=xl/tables/table30.xml><?xml version="1.0" encoding="utf-8"?>
<table xmlns="http://schemas.openxmlformats.org/spreadsheetml/2006/main" id="30" name="tbl_DutyRoster" displayName="tbl_DutyRoster" ref="A1:W6" headerRowCount="1">
  <autoFilter ref="A1:W6"/>
  <tableColumns count="23">
    <tableColumn id="1" name="RosterID"/>
    <tableColumn id="2" name="Date"/>
    <tableColumn id="3" name="ShiftType"/>
    <tableColumn id="4" name="StartTime"/>
    <tableColumn id="5" name="EndTime"/>
    <tableColumn id="6" name="OfficerName"/>
    <tableColumn id="7" name="Rank"/>
    <tableColumn id="8" name="BadgeNo"/>
    <tableColumn id="9" name="Unit"/>
    <tableColumn id="10" name="Station"/>
    <tableColumn id="11" name="Assignment"/>
    <tableColumn id="12" name="PostLocation"/>
    <tableColumn id="13" name="Supervisor"/>
    <tableColumn id="14" name="OvertimeHrs"/>
    <tableColumn id="15" name="LeaveType"/>
    <tableColumn id="16" name="Replacement"/>
    <tableColumn id="17" name="Notes"/>
    <tableColumn id="18" name="CreatedBy"/>
    <tableColumn id="19" name="CreatedDate"/>
    <tableColumn id="20" name="Week"/>
    <tableColumn id="21" name="Month"/>
    <tableColumn id="22" name="Quarter"/>
    <tableColumn id="23" name="Year"/>
  </tableColumns>
  <tableStyleInfo name="TableStyleMedium9" showFirstColumn="0" showLastColumn="0" showRowStripes="1" showColumnStripes="0"/>
</table>
</file>

<file path=xl/tables/table31.xml><?xml version="1.0" encoding="utf-8"?>
<table xmlns="http://schemas.openxmlformats.org/spreadsheetml/2006/main" id="31" name="tbl_CustodyTransfers" displayName="tbl_CustodyTransfers" ref="A1:T6" headerRowCount="1">
  <autoFilter ref="A1:T6"/>
  <tableColumns count="20">
    <tableColumn id="1" name="TransferID"/>
    <tableColumn id="2" name="ExhibitID"/>
    <tableColumn id="3" name="LinkedCaseID"/>
    <tableColumn id="4" name="TransferDate"/>
    <tableColumn id="5" name="TransferTime"/>
    <tableColumn id="6" name="ReleasedBy"/>
    <tableColumn id="7" name="ReleasedByRank"/>
    <tableColumn id="8" name="ReleasedByBadge"/>
    <tableColumn id="9" name="ReceivedBy"/>
    <tableColumn id="10" name="ReceivedByRank"/>
    <tableColumn id="11" name="ReceivedByBadge"/>
    <tableColumn id="12" name="Purpose"/>
    <tableColumn id="13" name="FromLocation"/>
    <tableColumn id="14" name="ToLocation"/>
    <tableColumn id="15" name="ConditionAtTransfer"/>
    <tableColumn id="16" name="WitnessName"/>
    <tableColumn id="17" name="WitnessBadge"/>
    <tableColumn id="18" name="Notes"/>
    <tableColumn id="19" name="CreatedBy"/>
    <tableColumn id="20" name="CreatedDate"/>
  </tableColumns>
  <tableStyleInfo name="TableStyleMedium9" showFirstColumn="0" showLastColumn="0" showRowStripes="1" showColumnStripes="0"/>
</table>
</file>

<file path=xl/tables/table32.xml><?xml version="1.0" encoding="utf-8"?>
<table xmlns="http://schemas.openxmlformats.org/spreadsheetml/2006/main" id="32" name="tbl_SceneLog" displayName="tbl_SceneLog" ref="A1:AG6" headerRowCount="1">
  <autoFilter ref="A1:AG6"/>
  <tableColumns count="33">
    <tableColumn id="1" name="SceneID"/>
    <tableColumn id="2" name="LinkedCaseID"/>
    <tableColumn id="3" name="LinkedOpsID"/>
    <tableColumn id="4" name="Date"/>
    <tableColumn id="5" name="Time"/>
    <tableColumn id="6" name="Location"/>
    <tableColumn id="7" name="Parish"/>
    <tableColumn id="8" name="GPS_Coordinates"/>
    <tableColumn id="9" name="SceneType"/>
    <tableColumn id="10" name="SceneOfficer"/>
    <tableColumn id="11" name="Rank"/>
    <tableColumn id="12" name="BadgeNo"/>
    <tableColumn id="13" name="PhotosTaken"/>
    <tableColumn id="14" name="VideoRecorded"/>
    <tableColumn id="15" name="SketchDrawn"/>
    <tableColumn id="16" name="GSR_Collected"/>
    <tableColumn id="17" name="ShellCasingsFound"/>
    <tableColumn id="18" name="ShellCasingCount"/>
    <tableColumn id="19" name="BloodSamplesCollected"/>
    <tableColumn id="20" name="FingerprintsLifted"/>
    <tableColumn id="21" name="WeaponsFound"/>
    <tableColumn id="22" name="WeaponDetails"/>
    <tableColumn id="23" name="WitnessesAtScene"/>
    <tableColumn id="24" name="WeatherConditions"/>
    <tableColumn id="25" name="Lighting"/>
    <tableColumn id="26" name="SceneSealedTime"/>
    <tableColumn id="27" name="SceneReleasedTime"/>
    <tableColumn id="28" name="OtherEvidenceNotes"/>
    <tableColumn id="29" name="Notes"/>
    <tableColumn id="30" name="CreatedBy"/>
    <tableColumn id="31" name="CreatedDate"/>
    <tableColumn id="32" name="LastUpdatedBy"/>
    <tableColumn id="33" name="LastUpdatedDate"/>
  </tableColumns>
  <tableStyleInfo name="TableStyleMedium9" showFirstColumn="0" showLastColumn="0" showRowStripes="1" showColumnStripes="0"/>
</table>
</file>

<file path=xl/tables/table33.xml><?xml version="1.0" encoding="utf-8"?>
<table xmlns="http://schemas.openxmlformats.org/spreadsheetml/2006/main" id="33" name="tbl_Witnesses" displayName="tbl_Witnesses" ref="A1:AK6" headerRowCount="1">
  <autoFilter ref="A1:AK6"/>
  <tableColumns count="37">
    <tableColumn id="1" name="WitnessID"/>
    <tableColumn id="2" name="LinkedCaseID"/>
    <tableColumn id="3" name="FullName"/>
    <tableColumn id="4" name="Alias"/>
    <tableColumn id="5" name="DOB"/>
    <tableColumn id="6" name="Gender"/>
    <tableColumn id="7" name="Address"/>
    <tableColumn id="8" name="Parish"/>
    <tableColumn id="9" name="Phone"/>
    <tableColumn id="10" name="Email"/>
    <tableColumn id="11" name="WitnessType"/>
    <tableColumn id="12" name="RelationToCase"/>
    <tableColumn id="13" name="StatementTaken"/>
    <tableColumn id="14" name="StatementDate"/>
    <tableColumn id="15" name="StatementID"/>
    <tableColumn id="16" name="WillingToTestify"/>
    <tableColumn id="17" name="AvailableForCourt"/>
    <tableColumn id="18" name="CourtDate"/>
    <tableColumn id="19" name="SummonsIssued"/>
    <tableColumn id="20" name="SummonsDate"/>
    <tableColumn id="21" name="SummonsServed"/>
    <tableColumn id="22" name="SummonsServedDate"/>
    <tableColumn id="23" name="ProtectionRequired"/>
    <tableColumn id="24" name="ProtectionType"/>
    <tableColumn id="25" name="ProtectionApproved"/>
    <tableColumn id="26" name="VulnerableWitness"/>
    <tableColumn id="27" name="SpecialMeasures"/>
    <tableColumn id="28" name="CredibilityAssessment"/>
    <tableColumn id="29" name="InterviewCount"/>
    <tableColumn id="30" name="LastContactDate"/>
    <tableColumn id="31" name="NextContactDue"/>
    <tableColumn id="32" name="Status"/>
    <tableColumn id="33" name="Notes"/>
    <tableColumn id="34" name="CreatedBy"/>
    <tableColumn id="35" name="CreatedDate"/>
    <tableColumn id="36" name="LastUpdatedBy"/>
    <tableColumn id="37" name="LastUpdatedDate"/>
  </tableColumns>
  <tableStyleInfo name="TableStyleMedium9" showFirstColumn="0" showLastColumn="0" showRowStripes="1" showColumnStripes="0"/>
</table>
</file>

<file path=xl/tables/table34.xml><?xml version="1.0" encoding="utf-8"?>
<table xmlns="http://schemas.openxmlformats.org/spreadsheetml/2006/main" id="34" name="tbl_Statements" displayName="tbl_Statements" ref="A1:AK6" headerRowCount="1">
  <autoFilter ref="A1:AK6"/>
  <tableColumns count="37">
    <tableColumn id="1" name="StatementID"/>
    <tableColumn id="2" name="LinkedCaseID"/>
    <tableColumn id="3" name="LinkedWitnessID"/>
    <tableColumn id="4" name="LinkedPersonID"/>
    <tableColumn id="5" name="StatementDate"/>
    <tableColumn id="6" name="StatementTime"/>
    <tableColumn id="7" name="Location"/>
    <tableColumn id="8" name="StatementType"/>
    <tableColumn id="9" name="DeponentName"/>
    <tableColumn id="10" name="DeponentRole"/>
    <tableColumn id="11" name="TakenBy"/>
    <tableColumn id="12" name="TakenByRank"/>
    <tableColumn id="13" name="TakenByBadge"/>
    <tableColumn id="14" name="CautionGiven"/>
    <tableColumn id="15" name="CautionTime"/>
    <tableColumn id="16" name="RightsExplained"/>
    <tableColumn id="17" name="LegalRepPresent"/>
    <tableColumn id="18" name="LegalRepName"/>
    <tableColumn id="19" name="InterpreterUsed"/>
    <tableColumn id="20" name="InterpreterName"/>
    <tableColumn id="21" name="Language"/>
    <tableColumn id="22" name="StatementPages"/>
    <tableColumn id="23" name="ExhibitsReferenced"/>
    <tableColumn id="24" name="VideoRecorded"/>
    <tableColumn id="25" name="AudioRecorded"/>
    <tableColumn id="26" name="DeponentSignature"/>
    <tableColumn id="27" name="WitnessToSignature"/>
    <tableColumn id="28" name="DisclosedToProsecution"/>
    <tableColumn id="29" name="DisclosureDate"/>
    <tableColumn id="30" name="Retracted"/>
    <tableColumn id="31" name="RetractionDate"/>
    <tableColumn id="32" name="RetractionReason"/>
    <tableColumn id="33" name="Notes"/>
    <tableColumn id="34" name="CreatedBy"/>
    <tableColumn id="35" name="CreatedDate"/>
    <tableColumn id="36" name="LastUpdatedBy"/>
    <tableColumn id="37" name="LastUpdatedDate"/>
  </tableColumns>
  <tableStyleInfo name="TableStyleMedium9" showFirstColumn="0" showLastColumn="0" showRowStripes="1" showColumnStripes="0"/>
</table>
</file>

<file path=xl/tables/table35.xml><?xml version="1.0" encoding="utf-8"?>
<table xmlns="http://schemas.openxmlformats.org/spreadsheetml/2006/main" id="35" name="tbl_CaseAssignments" displayName="tbl_CaseAssignments" ref="A1:AC6" headerRowCount="1">
  <autoFilter ref="A1:AC6"/>
  <tableColumns count="29">
    <tableColumn id="1" name="AssignmentID"/>
    <tableColumn id="2" name="LinkedCaseID"/>
    <tableColumn id="3" name="AssignmentDate"/>
    <tableColumn id="4" name="AssignmentTime"/>
    <tableColumn id="5" name="AssignedFrom"/>
    <tableColumn id="6" name="AssignedFromRank"/>
    <tableColumn id="7" name="AssignedFromBadge"/>
    <tableColumn id="8" name="AssignedTo"/>
    <tableColumn id="9" name="AssignedToRank"/>
    <tableColumn id="10" name="AssignedToBadge"/>
    <tableColumn id="11" name="AssignedToUnit"/>
    <tableColumn id="12" name="AssignmentType"/>
    <tableColumn id="13" name="Reason"/>
    <tableColumn id="14" name="AuthorizedBy"/>
    <tableColumn id="15" name="AuthorizedByRank"/>
    <tableColumn id="16" name="HandoverBriefingDone"/>
    <tableColumn id="17" name="HandoverDate"/>
    <tableColumn id="18" name="HandoverNotes"/>
    <tableColumn id="19" name="CaseFileTransferred"/>
    <tableColumn id="20" name="FileCondition"/>
    <tableColumn id="21" name="ExhibitsAccountedFor"/>
    <tableColumn id="22" name="ExhibitDiscrepancies"/>
    <tableColumn id="23" name="PendingActions"/>
    <tableColumn id="24" name="OutstandingLeads"/>
    <tableColumn id="25" name="AcknowledgedByReceiver"/>
    <tableColumn id="26" name="AcknowledgementDate"/>
    <tableColumn id="27" name="Notes"/>
    <tableColumn id="28" name="CreatedBy"/>
    <tableColumn id="29" name="CreatedDate"/>
  </tableColumns>
  <tableStyleInfo name="TableStyleMedium9" showFirstColumn="0" showLastColumn="0" showRowStripes="1" showColumnStripes="0"/>
</table>
</file>

<file path=xl/tables/table36.xml><?xml version="1.0" encoding="utf-8"?>
<table xmlns="http://schemas.openxmlformats.org/spreadsheetml/2006/main" id="36" name="tbl_VictimContact" displayName="tbl_VictimContact" ref="A1:Y6" headerRowCount="1">
  <autoFilter ref="A1:Y6"/>
  <tableColumns count="25">
    <tableColumn id="1" name="ContactID"/>
    <tableColumn id="2" name="LinkedCaseID"/>
    <tableColumn id="3" name="VictimName"/>
    <tableColumn id="4" name="ContactDate"/>
    <tableColumn id="5" name="ContactTime"/>
    <tableColumn id="6" name="ContactMethod"/>
    <tableColumn id="7" name="ContactedBy"/>
    <tableColumn id="8" name="ContactedByRank"/>
    <tableColumn id="9" name="Purpose"/>
    <tableColumn id="10" name="UpdateProvided"/>
    <tableColumn id="11" name="VictimSatisfied"/>
    <tableColumn id="12" name="ConcernsRaised"/>
    <tableColumn id="13" name="ActionRequired"/>
    <tableColumn id="14" name="ActionDueDate"/>
    <tableColumn id="15" name="ReferralMade"/>
    <tableColumn id="16" name="ReferralAgency"/>
    <tableColumn id="17" name="ReferralDate"/>
    <tableColumn id="18" name="VictimImpactAssessment"/>
    <tableColumn id="19" name="SafetyConcerns"/>
    <tableColumn id="20" name="SafetyPlanInPlace"/>
    <tableColumn id="21" name="NextScheduledContact"/>
    <tableColumn id="22" name="ContactFrequency"/>
    <tableColumn id="23" name="Notes"/>
    <tableColumn id="24" name="CreatedBy"/>
    <tableColumn id="25" name="CreatedDate"/>
  </tableColumns>
  <tableStyleInfo name="TableStyleMedium9" showFirstColumn="0" showLastColumn="0" showRowStripes="1" showColumnStripes="0"/>
</table>
</file>

<file path=xl/tables/table37.xml><?xml version="1.0" encoding="utf-8"?>
<table xmlns="http://schemas.openxmlformats.org/spreadsheetml/2006/main" id="37" name="tbl_InvestigationPlans" displayName="tbl_InvestigationPlans" ref="A1:AI6" headerRowCount="1">
  <autoFilter ref="A1:AI6"/>
  <tableColumns count="35">
    <tableColumn id="1" name="PlanID"/>
    <tableColumn id="2" name="LinkedCaseID"/>
    <tableColumn id="3" name="PlanVersion"/>
    <tableColumn id="4" name="PlanDate"/>
    <tableColumn id="5" name="PreparedBy"/>
    <tableColumn id="6" name="PreparedByRank"/>
    <tableColumn id="7" name="ApprovedBy"/>
    <tableColumn id="8" name="ApprovalDate"/>
    <tableColumn id="9" name="Hypothesis"/>
    <tableColumn id="10" name="ObjectivesOfInvestigation"/>
    <tableColumn id="11" name="LinesOfEnquiry"/>
    <tableColumn id="12" name="KeyEvidenceRequired"/>
    <tableColumn id="13" name="WitnessesToInterview"/>
    <tableColumn id="14" name="SuspectsToInterview"/>
    <tableColumn id="15" name="ForensicRequirements"/>
    <tableColumn id="16" name="SurveillanceRequired"/>
    <tableColumn id="17" name="SearchesPlanned"/>
    <tableColumn id="18" name="WarrantsRequired"/>
    <tableColumn id="19" name="InterAgencySupport"/>
    <tableColumn id="20" name="ResourcesRequired"/>
    <tableColumn id="21" name="TimelineTarget"/>
    <tableColumn id="22" name="MilestonesPlanned"/>
    <tableColumn id="23" name="RiskAssessment"/>
    <tableColumn id="24" name="OfficerSafetyConsiderations"/>
    <tableColumn id="25" name="LegalConsiderations"/>
    <tableColumn id="26" name="DisclosureObligations"/>
    <tableColumn id="27" name="ReviewSchedule"/>
    <tableColumn id="28" name="NextReviewDate"/>
    <tableColumn id="29" name="PlanStatus"/>
    <tableColumn id="30" name="LastRevisedDate"/>
    <tableColumn id="31" name="Notes"/>
    <tableColumn id="32" name="CreatedBy"/>
    <tableColumn id="33" name="CreatedDate"/>
    <tableColumn id="34" name="LastUpdatedBy"/>
    <tableColumn id="35" name="LastUpdatedDate"/>
  </tableColumns>
  <tableStyleInfo name="TableStyleMedium9" showFirstColumn="0" showLastColumn="0" showRowStripes="1" showColumnStripes="0"/>
</table>
</file>

<file path=xl/tables/table38.xml><?xml version="1.0" encoding="utf-8"?>
<table xmlns="http://schemas.openxmlformats.org/spreadsheetml/2006/main" id="38" name="tbl_CaseFileChecklist" displayName="tbl_CaseFileChecklist" ref="A1:AN6" headerRowCount="1">
  <autoFilter ref="A1:AN6"/>
  <tableColumns count="40">
    <tableColumn id="1" name="ChecklistID"/>
    <tableColumn id="2" name="LinkedCaseID"/>
    <tableColumn id="3" name="ReviewDate"/>
    <tableColumn id="4" name="ReviewedBy"/>
    <tableColumn id="5" name="CR1_Present"/>
    <tableColumn id="6" name="CR2_Present"/>
    <tableColumn id="7" name="CR5_Present"/>
    <tableColumn id="8" name="StationDiaryExtract"/>
    <tableColumn id="9" name="InvestigationPlan"/>
    <tableColumn id="10" name="AllStatementsPresent"/>
    <tableColumn id="11" name="StatementCount"/>
    <tableColumn id="12" name="CautionStatementPresent"/>
    <tableColumn id="13" name="ChargeSheet"/>
    <tableColumn id="14" name="ExhibitRegisterComplete"/>
    <tableColumn id="15" name="ChainOfCustodyComplete"/>
    <tableColumn id="16" name="ForensicReportsReceived"/>
    <tableColumn id="17" name="ForensicReportsCount"/>
    <tableColumn id="18" name="ScenePhotos"/>
    <tableColumn id="19" name="SceneSketch"/>
    <tableColumn id="20" name="SceneReport"/>
    <tableColumn id="21" name="WitnessList"/>
    <tableColumn id="22" name="WitnessSummonses"/>
    <tableColumn id="23" name="WitnessAvailabilityConfirmed"/>
    <tableColumn id="24" name="ProsecutionBrief"/>
    <tableColumn id="25" name="DisclosureComplete"/>
    <tableColumn id="26" name="SuspectCautionRecord"/>
    <tableColumn id="27" name="SuspectInterviewRecord"/>
    <tableColumn id="28" name="IdentificationEvidence"/>
    <tableColumn id="29" name="AlibiChecked"/>
    <tableColumn id="30" name="SupervisoryEndorsements"/>
    <tableColumn id="31" name="CommandConferenceNotes"/>
    <tableColumn id="32" name="CorrespondenceFileFiled"/>
    <tableColumn id="33" name="VictimContactLog"/>
    <tableColumn id="34" name="TotalItemsChecked"/>
    <tableColumn id="35" name="TotalItemsPresent"/>
    <tableColumn id="36" name="CompletenessScore"/>
    <tableColumn id="37" name="FileStatus"/>
    <tableColumn id="38" name="Notes"/>
    <tableColumn id="39" name="CreatedBy"/>
    <tableColumn id="40" name="CreatedDate"/>
  </tableColumns>
  <tableStyleInfo name="TableStyleMedium9" showFirstColumn="0" showLastColumn="0" showRowStripes="1" showColumnStripes="0"/>
</table>
</file>

<file path=xl/tables/table39.xml><?xml version="1.0" encoding="utf-8"?>
<table xmlns="http://schemas.openxmlformats.org/spreadsheetml/2006/main" id="39" name="tbl_Disclosure" displayName="tbl_Disclosure" ref="A1:Z6" headerRowCount="1">
  <autoFilter ref="A1:Z6"/>
  <tableColumns count="26">
    <tableColumn id="1" name="DisclosureID"/>
    <tableColumn id="2" name="LinkedCaseID"/>
    <tableColumn id="3" name="DisclosureDate"/>
    <tableColumn id="4" name="MaterialType"/>
    <tableColumn id="5" name="MaterialDescription"/>
    <tableColumn id="6" name="ExhibitRef"/>
    <tableColumn id="7" name="StatementRef"/>
    <tableColumn id="8" name="DisclosedTo"/>
    <tableColumn id="9" name="DisclosedToRole"/>
    <tableColumn id="10" name="DisclosedBy"/>
    <tableColumn id="11" name="DisclosedByRank"/>
    <tableColumn id="12" name="Method"/>
    <tableColumn id="13" name="ReceiptAcknowledged"/>
    <tableColumn id="14" name="AcknowledgementDate"/>
    <tableColumn id="15" name="Sensitive"/>
    <tableColumn id="16" name="PIIMaterial"/>
    <tableColumn id="17" name="RedactionRequired"/>
    <tableColumn id="18" name="RedactionDone"/>
    <tableColumn id="19" name="ThirdPartyMaterial"/>
    <tableColumn id="20" name="ThirdPartyConsent"/>
    <tableColumn id="21" name="ScheduleRef"/>
    <tableColumn id="22" name="ContinuingDuty"/>
    <tableColumn id="23" name="LastReviewDate"/>
    <tableColumn id="24" name="Notes"/>
    <tableColumn id="25" name="CreatedBy"/>
    <tableColumn id="26" name="CreatedDate"/>
  </tableColumns>
  <tableStyleInfo name="TableStyleMedium9" showFirstColumn="0" showLastColumn="0" showRowStripes="1" showColumnStripes="0"/>
</table>
</file>

<file path=xl/tables/table40.xml><?xml version="1.0" encoding="utf-8"?>
<table xmlns="http://schemas.openxmlformats.org/spreadsheetml/2006/main" id="40" name="tbl_CommandConference" displayName="tbl_CommandConference" ref="A1:AB6" headerRowCount="1">
  <autoFilter ref="A1:AB6"/>
  <tableColumns count="28">
    <tableColumn id="1" name="ConferenceID"/>
    <tableColumn id="2" name="LinkedCaseID"/>
    <tableColumn id="3" name="ConferenceDate"/>
    <tableColumn id="4" name="ConferenceTime"/>
    <tableColumn id="5" name="ConferenceType"/>
    <tableColumn id="6" name="Chairperson"/>
    <tableColumn id="7" name="ChairpersonRank"/>
    <tableColumn id="8" name="Attendees"/>
    <tableColumn id="9" name="AttendeeCount"/>
    <tableColumn id="10" name="CaseSynopsis"/>
    <tableColumn id="11" name="InvestigationProgress"/>
    <tableColumn id="12" name="EvidenceStatusSummary"/>
    <tableColumn id="13" name="ForensicStatusSummary"/>
    <tableColumn id="14" name="KeyIssuesDiscussed"/>
    <tableColumn id="15" name="DirectivesIssued"/>
    <tableColumn id="16" name="DirectiveAssignedTo"/>
    <tableColumn id="17" name="DirectiveDueDate"/>
    <tableColumn id="18" name="DirectiveStatus"/>
    <tableColumn id="19" name="ResourceApprovals"/>
    <tableColumn id="20" name="EscalationRequired"/>
    <tableColumn id="21" name="EscalatedTo"/>
    <tableColumn id="22" name="NextConferenceDate"/>
    <tableColumn id="23" name="MinutesTakenBy"/>
    <tableColumn id="24" name="Notes"/>
    <tableColumn id="25" name="CreatedBy"/>
    <tableColumn id="26" name="CreatedDate"/>
    <tableColumn id="27" name="LastUpdatedBy"/>
    <tableColumn id="28" name="LastUpdatedDate"/>
  </tableColumns>
  <tableStyleInfo name="TableStyleMedium9" showFirstColumn="0" showLastColumn="0" showRowStripes="1" showColumnStripes="0"/>
</table>
</file>

<file path=xl/tables/table41.xml><?xml version="1.0" encoding="utf-8"?>
<table xmlns="http://schemas.openxmlformats.org/spreadsheetml/2006/main" id="41" name="tbl_BallisticTrace" displayName="tbl_BallisticTrace" ref="A1:AD6" headerRowCount="1">
  <autoFilter ref="A1:AD6"/>
  <tableColumns count="30">
    <tableColumn id="1" name="TraceID"/>
    <tableColumn id="2" name="LinkedCaseID"/>
    <tableColumn id="3" name="LinkedExhibitID"/>
    <tableColumn id="4" name="LinkedSeizureID"/>
    <tableColumn id="5" name="FirearmMake"/>
    <tableColumn id="6" name="FirearmModel"/>
    <tableColumn id="7" name="FirearmCalibre"/>
    <tableColumn id="8" name="SerialNumber"/>
    <tableColumn id="9" name="TraceSubmitDate"/>
    <tableColumn id="10" name="TracingAgency"/>
    <tableColumn id="11" name="TraceType"/>
    <tableColumn id="12" name="IBIS_Hit"/>
    <tableColumn id="13" name="IBIS_MatchCaseID"/>
    <tableColumn id="14" name="IBIS_MatchDetails"/>
    <tableColumn id="15" name="ATF_TraceNumber"/>
    <tableColumn id="16" name="ATF_Result"/>
    <tableColumn id="17" name="CountryOfOrigin"/>
    <tableColumn id="18" name="ImportPath"/>
    <tableColumn id="19" name="INTERPOL_Ref"/>
    <tableColumn id="20" name="MatchToOtherScene"/>
    <tableColumn id="21" name="MatchSceneCaseID"/>
    <tableColumn id="22" name="BallisticExpertName"/>
    <tableColumn id="23" name="ExpertReport"/>
    <tableColumn id="24" name="ReportDate"/>
    <tableColumn id="25" name="Status"/>
    <tableColumn id="26" name="Notes"/>
    <tableColumn id="27" name="CreatedBy"/>
    <tableColumn id="28" name="CreatedDate"/>
    <tableColumn id="29" name="LastUpdatedBy"/>
    <tableColumn id="30" name="LastUpdatedDate"/>
  </tableColumns>
  <tableStyleInfo name="TableStyleMedium9" showFirstColumn="0" showLastColumn="0" showRowStripes="1" showColumnStripes="0"/>
</table>
</file>

<file path=xl/tables/table42.xml><?xml version="1.0" encoding="utf-8"?>
<table xmlns="http://schemas.openxmlformats.org/spreadsheetml/2006/main" id="42" name="tbl_GangAffiliation" displayName="tbl_GangAffiliation" ref="A1:X6" headerRowCount="1">
  <autoFilter ref="A1:X6"/>
  <tableColumns count="24">
    <tableColumn id="1" name="RecordID"/>
    <tableColumn id="2" name="LinkedPersonID"/>
    <tableColumn id="3" name="LinkedCaseID"/>
    <tableColumn id="4" name="GangName"/>
    <tableColumn id="5" name="GangAlias"/>
    <tableColumn id="6" name="GangTerritory"/>
    <tableColumn id="7" name="Parish"/>
    <tableColumn id="8" name="RoleInGang"/>
    <tableColumn id="9" name="RankInGang"/>
    <tableColumn id="10" name="RecruitmentDate"/>
    <tableColumn id="11" name="ActiveStatus"/>
    <tableColumn id="12" name="ThreatLevel"/>
    <tableColumn id="13" name="AssociatesCount"/>
    <tableColumn id="14" name="LinkedGangMembers"/>
    <tableColumn id="15" name="IntelSourceID"/>
    <tableColumn id="16" name="FirearmsAssociated"/>
    <tableColumn id="17" name="NarcoticsAssociated"/>
    <tableColumn id="18" name="LastKnownActivity"/>
    <tableColumn id="19" name="LastActivityDate"/>
    <tableColumn id="20" name="Notes"/>
    <tableColumn id="21" name="CreatedBy"/>
    <tableColumn id="22" name="CreatedDate"/>
    <tableColumn id="23" name="LastUpdatedBy"/>
    <tableColumn id="24" name="LastUpdatedDate"/>
  </tableColumns>
  <tableStyleInfo name="TableStyleMedium9" showFirstColumn="0" showLastColumn="0" showRowStripes="1" showColumnStripes="0"/>
</table>
</file>

<file path=xl/tables/table43.xml><?xml version="1.0" encoding="utf-8"?>
<table xmlns="http://schemas.openxmlformats.org/spreadsheetml/2006/main" id="43" name="tbl_Budget" displayName="tbl_Budget" ref="A1:AA6" headerRowCount="1">
  <autoFilter ref="A1:AA6"/>
  <tableColumns count="27">
    <tableColumn id="1" name="BudgetID"/>
    <tableColumn id="2" name="FiscalYear"/>
    <tableColumn id="3" name="Quarter"/>
    <tableColumn id="4" name="Month"/>
    <tableColumn id="5" name="Unit"/>
    <tableColumn id="6" name="BudgetCategory"/>
    <tableColumn id="7" name="Description"/>
    <tableColumn id="8" name="AllocatedAmount"/>
    <tableColumn id="9" name="SpentAmount"/>
    <tableColumn id="10" name="CommittedAmount"/>
    <tableColumn id="11" name="AvailableBalance"/>
    <tableColumn id="12" name="Variance"/>
    <tableColumn id="13" name="VariancePct"/>
    <tableColumn id="14" name="FundingSource"/>
    <tableColumn id="15" name="ApprovedBy"/>
    <tableColumn id="16" name="ApprovalDate"/>
    <tableColumn id="17" name="LinkedOpsID"/>
    <tableColumn id="18" name="LinkedTrainingID"/>
    <tableColumn id="19" name="Notes"/>
    <tableColumn id="20" name="CreatedBy"/>
    <tableColumn id="21" name="CreatedDate"/>
    <tableColumn id="22" name="LastUpdatedBy"/>
    <tableColumn id="23" name="LastUpdatedDate"/>
    <tableColumn id="24" name="Week"/>
    <tableColumn id="25" name="MonthNum"/>
    <tableColumn id="26" name="QuarterNum"/>
    <tableColumn id="27" name="Year"/>
  </tableColumns>
  <tableStyleInfo name="TableStyleMedium9" showFirstColumn="0" showLastColumn="0" showRowStripes="1" showColumnStripes="0"/>
</table>
</file>

<file path=xl/tables/table44.xml><?xml version="1.0" encoding="utf-8"?>
<table xmlns="http://schemas.openxmlformats.org/spreadsheetml/2006/main" id="44" name="tbl_LeaveManagement" displayName="tbl_LeaveManagement" ref="A1:V6" headerRowCount="1">
  <autoFilter ref="A1:V6"/>
  <tableColumns count="22">
    <tableColumn id="1" name="LeaveID"/>
    <tableColumn id="2" name="PersonnelID"/>
    <tableColumn id="3" name="OfficerName"/>
    <tableColumn id="4" name="Rank"/>
    <tableColumn id="5" name="Unit"/>
    <tableColumn id="6" name="LeaveType"/>
    <tableColumn id="7" name="StartDate"/>
    <tableColumn id="8" name="EndDate"/>
    <tableColumn id="9" name="DaysRequested"/>
    <tableColumn id="10" name="DaysApproved"/>
    <tableColumn id="11" name="Status"/>
    <tableColumn id="12" name="ApprovedBy"/>
    <tableColumn id="13" name="ApprovalDate"/>
    <tableColumn id="14" name="ReliefOfficer"/>
    <tableColumn id="15" name="HandoverDone"/>
    <tableColumn id="16" name="ReturnDate"/>
    <tableColumn id="17" name="ReturnOnTime"/>
    <tableColumn id="18" name="AnnualBalance"/>
    <tableColumn id="19" name="SickBalance"/>
    <tableColumn id="20" name="Notes"/>
    <tableColumn id="21" name="CreatedBy"/>
    <tableColumn id="22" name="CreatedDate"/>
  </tableColumns>
  <tableStyleInfo name="TableStyleMedium9" showFirstColumn="0" showLastColumn="0" showRowStripes="1" showColumnStripes="0"/>
</table>
</file>

<file path=xl/tables/table45.xml><?xml version="1.0" encoding="utf-8"?>
<table xmlns="http://schemas.openxmlformats.org/spreadsheetml/2006/main" id="45" name="tbl_Disciplinary" displayName="tbl_Disciplinary" ref="A1:AC6" headerRowCount="1">
  <autoFilter ref="A1:AC6"/>
  <tableColumns count="29">
    <tableColumn id="1" name="DisciplinaryID"/>
    <tableColumn id="2" name="PersonnelID"/>
    <tableColumn id="3" name="OfficerName"/>
    <tableColumn id="4" name="Rank"/>
    <tableColumn id="5" name="Unit"/>
    <tableColumn id="6" name="BadgeNo"/>
    <tableColumn id="7" name="IncidentDate"/>
    <tableColumn id="8" name="ReportDate"/>
    <tableColumn id="9" name="ReportedBy"/>
    <tableColumn id="10" name="AllegationType"/>
    <tableColumn id="11" name="AllegationDescription"/>
    <tableColumn id="12" name="InvestigatingOfficer"/>
    <tableColumn id="13" name="InvestigationStartDate"/>
    <tableColumn id="14" name="InvestigationEndDate"/>
    <tableColumn id="15" name="Findings"/>
    <tableColumn id="16" name="Recommendation"/>
    <tableColumn id="17" name="Sanction"/>
    <tableColumn id="18" name="HearingDate"/>
    <tableColumn id="19" name="HearingPanel"/>
    <tableColumn id="20" name="Outcome"/>
    <tableColumn id="21" name="AppealFiled"/>
    <tableColumn id="22" name="AppealDate"/>
    <tableColumn id="23" name="AppealOutcome"/>
    <tableColumn id="24" name="Status"/>
    <tableColumn id="25" name="Notes"/>
    <tableColumn id="26" name="CreatedBy"/>
    <tableColumn id="27" name="CreatedDate"/>
    <tableColumn id="28" name="LastUpdatedBy"/>
    <tableColumn id="29" name="LastUpdatedDate"/>
  </tableColumns>
  <tableStyleInfo name="TableStyleMedium9" showFirstColumn="0" showLastColumn="0" showRowStripes="1" showColumnStripes="0"/>
</table>
</file>

<file path=xl/tables/table46.xml><?xml version="1.0" encoding="utf-8"?>
<table xmlns="http://schemas.openxmlformats.org/spreadsheetml/2006/main" id="46" name="tbl_Correspondence" displayName="tbl_Correspondence" ref="A1:U6" headerRowCount="1">
  <autoFilter ref="A1:U6"/>
  <tableColumns count="21">
    <tableColumn id="1" name="CorrespondenceID"/>
    <tableColumn id="2" name="LinkedCaseID"/>
    <tableColumn id="3" name="Date"/>
    <tableColumn id="4" name="Direction"/>
    <tableColumn id="5" name="From"/>
    <tableColumn id="6" name="To"/>
    <tableColumn id="7" name="Agency"/>
    <tableColumn id="8" name="Subject"/>
    <tableColumn id="9" name="Method"/>
    <tableColumn id="10" name="ReferenceNo"/>
    <tableColumn id="11" name="Summary"/>
    <tableColumn id="12" name="ResponseRequired"/>
    <tableColumn id="13" name="ResponseDueDate"/>
    <tableColumn id="14" name="ResponseDate"/>
    <tableColumn id="15" name="Status"/>
    <tableColumn id="16" name="Priority"/>
    <tableColumn id="17" name="Attachments"/>
    <tableColumn id="18" name="FiledLocation"/>
    <tableColumn id="19" name="Notes"/>
    <tableColumn id="20" name="CreatedBy"/>
    <tableColumn id="21" name="CreatedDate"/>
  </tableColumns>
  <tableStyleInfo name="TableStyleMedium9" showFirstColumn="0" showLastColumn="0" showRowStripes="1" showColumnStripes="0"/>
</table>
</file>

<file path=xl/tables/table47.xml><?xml version="1.0" encoding="utf-8"?>
<table xmlns="http://schemas.openxmlformats.org/spreadsheetml/2006/main" id="47" name="tbl_RiskRegister" displayName="tbl_RiskRegister" ref="A1:Y6" headerRowCount="1">
  <autoFilter ref="A1:Y6"/>
  <tableColumns count="25">
    <tableColumn id="1" name="RiskID"/>
    <tableColumn id="2" name="RiskCategory"/>
    <tableColumn id="3" name="RiskDescription"/>
    <tableColumn id="4" name="Unit"/>
    <tableColumn id="5" name="Likelihood"/>
    <tableColumn id="6" name="Impact"/>
    <tableColumn id="7" name="RiskScore"/>
    <tableColumn id="8" name="RiskRating"/>
    <tableColumn id="9" name="ExistingControls"/>
    <tableColumn id="10" name="ControlEffectiveness"/>
    <tableColumn id="11" name="MitigationPlan"/>
    <tableColumn id="12" name="MitigationOwner"/>
    <tableColumn id="13" name="MitigationDueDate"/>
    <tableColumn id="14" name="ResidualLikelihood"/>
    <tableColumn id="15" name="ResidualImpact"/>
    <tableColumn id="16" name="ResidualScore"/>
    <tableColumn id="17" name="ResidualRating"/>
    <tableColumn id="18" name="Status"/>
    <tableColumn id="19" name="LastReviewDate"/>
    <tableColumn id="20" name="NextReviewDate"/>
    <tableColumn id="21" name="Notes"/>
    <tableColumn id="22" name="CreatedBy"/>
    <tableColumn id="23" name="CreatedDate"/>
    <tableColumn id="24" name="LastUpdatedBy"/>
    <tableColumn id="25" name="LastUpdatedDate"/>
  </tableColumns>
  <tableStyleInfo name="TableStyleMedium9" showFirstColumn="0" showLastColumn="0" showRowStripes="1" showColumnStripes="0"/>
</table>
</file>

<file path=xl/tables/table48.xml><?xml version="1.0" encoding="utf-8"?>
<table xmlns="http://schemas.openxmlformats.org/spreadsheetml/2006/main" id="48" name="tbl_AfterActionReport" displayName="tbl_AfterActionReport" ref="A1:AC6" headerRowCount="1">
  <autoFilter ref="A1:AC6"/>
  <tableColumns count="29">
    <tableColumn id="1" name="AAR_ID"/>
    <tableColumn id="2" name="LinkedOpsID"/>
    <tableColumn id="3" name="LinkedCaseID"/>
    <tableColumn id="4" name="ReportDate"/>
    <tableColumn id="5" name="OperationName"/>
    <tableColumn id="6" name="OperationType"/>
    <tableColumn id="7" name="TeamLead"/>
    <tableColumn id="8" name="ObjectivesMet"/>
    <tableColumn id="9" name="ObjectiveSummary"/>
    <tableColumn id="10" name="WhatWorked"/>
    <tableColumn id="11" name="WhatDidNotWork"/>
    <tableColumn id="12" name="LessonsLearned"/>
    <tableColumn id="13" name="TacticalFindings"/>
    <tableColumn id="14" name="IntelAssessment"/>
    <tableColumn id="15" name="CasualtiesOrInjuries"/>
    <tableColumn id="16" name="OfficerSafetyIssues"/>
    <tableColumn id="17" name="EquipmentIssues"/>
    <tableColumn id="18" name="CommunicationIssues"/>
    <tableColumn id="19" name="Recommendations"/>
    <tableColumn id="20" name="ActionItemsFromAAR"/>
    <tableColumn id="21" name="ActionAssignedTo"/>
    <tableColumn id="22" name="ActionDueDate"/>
    <tableColumn id="23" name="ReviewedBy"/>
    <tableColumn id="24" name="ReviewDate"/>
    <tableColumn id="25" name="Notes"/>
    <tableColumn id="26" name="CreatedBy"/>
    <tableColumn id="27" name="CreatedDate"/>
    <tableColumn id="28" name="LastUpdatedBy"/>
    <tableColumn id="29" name="LastUpdatedDate"/>
  </tableColumns>
  <tableStyleInfo name="TableStyleMedium9" showFirstColumn="0" showLastColumn="0" showRowStripes="1" showColumnStripes="0"/>
</table>
</file>

<file path=xl/tables/table49.xml><?xml version="1.0" encoding="utf-8"?>
<table xmlns="http://schemas.openxmlformats.org/spreadsheetml/2006/main" id="49" name="tbl_Notifications" displayName="tbl_Notifications" ref="A1:R6" headerRowCount="1">
  <autoFilter ref="A1:R6"/>
  <tableColumns count="18">
    <tableColumn id="1" name="NotificationID"/>
    <tableColumn id="2" name="Date"/>
    <tableColumn id="3" name="Time"/>
    <tableColumn id="4" name="AlertType"/>
    <tableColumn id="5" name="Severity"/>
    <tableColumn id="6" name="SourceTable"/>
    <tableColumn id="7" name="SourceRecordID"/>
    <tableColumn id="8" name="Description"/>
    <tableColumn id="9" name="TriggeredRule"/>
    <tableColumn id="10" name="AffectedUnit"/>
    <tableColumn id="11" name="AffectedOfficer"/>
    <tableColumn id="12" name="ActionRequired"/>
    <tableColumn id="13" name="ActionTaken"/>
    <tableColumn id="14" name="ActionDate"/>
    <tableColumn id="15" name="ResolvedBy"/>
    <tableColumn id="16" name="Status"/>
    <tableColumn id="17" name="Notes"/>
    <tableColumn id="18" name="CreatedDate"/>
  </tableColumns>
  <tableStyleInfo name="TableStyleMedium9" showFirstColumn="0" showLastColumn="0" showRowStripes="1" showColumnStripes="0"/>
</table>
</file>

<file path=xl/tables/table50.xml><?xml version="1.0" encoding="utf-8"?>
<table xmlns="http://schemas.openxmlformats.org/spreadsheetml/2006/main" id="50" name="tbl_ChangeLog" displayName="tbl_ChangeLog" ref="A1:F5" headerRowCount="1">
  <autoFilter ref="A1:F5"/>
  <tableColumns count="6">
    <tableColumn id="1" name="Version"/>
    <tableColumn id="2" name="Date"/>
    <tableColumn id="3" name="Author"/>
    <tableColumn id="4" name="ChangeType"/>
    <tableColumn id="5" name="Description"/>
    <tableColumn id="6" name="SheetsAffecte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5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6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37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38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39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_rels/sheet40.xml.rels><Relationships xmlns="http://schemas.openxmlformats.org/package/2006/relationships"><Relationship Type="http://schemas.openxmlformats.org/officeDocument/2006/relationships/table" Target="/xl/tables/table27.xml" Id="rId1" /></Relationships>
</file>

<file path=xl/worksheets/_rels/sheet41.xml.rels><Relationships xmlns="http://schemas.openxmlformats.org/package/2006/relationships"><Relationship Type="http://schemas.openxmlformats.org/officeDocument/2006/relationships/table" Target="/xl/tables/table28.xml" Id="rId1" /></Relationships>
</file>

<file path=xl/worksheets/_rels/sheet42.xml.rels><Relationships xmlns="http://schemas.openxmlformats.org/package/2006/relationships"><Relationship Type="http://schemas.openxmlformats.org/officeDocument/2006/relationships/table" Target="/xl/tables/table29.xml" Id="rId1" /></Relationships>
</file>

<file path=xl/worksheets/_rels/sheet43.xml.rels><Relationships xmlns="http://schemas.openxmlformats.org/package/2006/relationships"><Relationship Type="http://schemas.openxmlformats.org/officeDocument/2006/relationships/table" Target="/xl/tables/table30.xml" Id="rId1" /></Relationships>
</file>

<file path=xl/worksheets/_rels/sheet44.xml.rels><Relationships xmlns="http://schemas.openxmlformats.org/package/2006/relationships"><Relationship Type="http://schemas.openxmlformats.org/officeDocument/2006/relationships/table" Target="/xl/tables/table31.xml" Id="rId1" /></Relationships>
</file>

<file path=xl/worksheets/_rels/sheet45.xml.rels><Relationships xmlns="http://schemas.openxmlformats.org/package/2006/relationships"><Relationship Type="http://schemas.openxmlformats.org/officeDocument/2006/relationships/table" Target="/xl/tables/table32.xml" Id="rId1" /></Relationships>
</file>

<file path=xl/worksheets/_rels/sheet46.xml.rels><Relationships xmlns="http://schemas.openxmlformats.org/package/2006/relationships"><Relationship Type="http://schemas.openxmlformats.org/officeDocument/2006/relationships/table" Target="/xl/tables/table33.xml" Id="rId1" /></Relationships>
</file>

<file path=xl/worksheets/_rels/sheet47.xml.rels><Relationships xmlns="http://schemas.openxmlformats.org/package/2006/relationships"><Relationship Type="http://schemas.openxmlformats.org/officeDocument/2006/relationships/table" Target="/xl/tables/table34.xml" Id="rId1" /></Relationships>
</file>

<file path=xl/worksheets/_rels/sheet48.xml.rels><Relationships xmlns="http://schemas.openxmlformats.org/package/2006/relationships"><Relationship Type="http://schemas.openxmlformats.org/officeDocument/2006/relationships/table" Target="/xl/tables/table35.xml" Id="rId1" /></Relationships>
</file>

<file path=xl/worksheets/_rels/sheet49.xml.rels><Relationships xmlns="http://schemas.openxmlformats.org/package/2006/relationships"><Relationship Type="http://schemas.openxmlformats.org/officeDocument/2006/relationships/table" Target="/xl/tables/table36.xml" Id="rId1" /></Relationships>
</file>

<file path=xl/worksheets/_rels/sheet50.xml.rels><Relationships xmlns="http://schemas.openxmlformats.org/package/2006/relationships"><Relationship Type="http://schemas.openxmlformats.org/officeDocument/2006/relationships/table" Target="/xl/tables/table37.xml" Id="rId1" /></Relationships>
</file>

<file path=xl/worksheets/_rels/sheet51.xml.rels><Relationships xmlns="http://schemas.openxmlformats.org/package/2006/relationships"><Relationship Type="http://schemas.openxmlformats.org/officeDocument/2006/relationships/table" Target="/xl/tables/table38.xml" Id="rId1" /></Relationships>
</file>

<file path=xl/worksheets/_rels/sheet52.xml.rels><Relationships xmlns="http://schemas.openxmlformats.org/package/2006/relationships"><Relationship Type="http://schemas.openxmlformats.org/officeDocument/2006/relationships/table" Target="/xl/tables/table39.xml" Id="rId1" /></Relationships>
</file>

<file path=xl/worksheets/_rels/sheet53.xml.rels><Relationships xmlns="http://schemas.openxmlformats.org/package/2006/relationships"><Relationship Type="http://schemas.openxmlformats.org/officeDocument/2006/relationships/table" Target="/xl/tables/table40.xml" Id="rId1" /></Relationships>
</file>

<file path=xl/worksheets/_rels/sheet70.xml.rels><Relationships xmlns="http://schemas.openxmlformats.org/package/2006/relationships"><Relationship Type="http://schemas.openxmlformats.org/officeDocument/2006/relationships/table" Target="/xl/tables/table41.xml" Id="rId1" /></Relationships>
</file>

<file path=xl/worksheets/_rels/sheet71.xml.rels><Relationships xmlns="http://schemas.openxmlformats.org/package/2006/relationships"><Relationship Type="http://schemas.openxmlformats.org/officeDocument/2006/relationships/table" Target="/xl/tables/table42.xml" Id="rId1" /></Relationships>
</file>

<file path=xl/worksheets/_rels/sheet72.xml.rels><Relationships xmlns="http://schemas.openxmlformats.org/package/2006/relationships"><Relationship Type="http://schemas.openxmlformats.org/officeDocument/2006/relationships/table" Target="/xl/tables/table43.xml" Id="rId1" /></Relationships>
</file>

<file path=xl/worksheets/_rels/sheet73.xml.rels><Relationships xmlns="http://schemas.openxmlformats.org/package/2006/relationships"><Relationship Type="http://schemas.openxmlformats.org/officeDocument/2006/relationships/table" Target="/xl/tables/table44.xml" Id="rId1" /></Relationships>
</file>

<file path=xl/worksheets/_rels/sheet74.xml.rels><Relationships xmlns="http://schemas.openxmlformats.org/package/2006/relationships"><Relationship Type="http://schemas.openxmlformats.org/officeDocument/2006/relationships/table" Target="/xl/tables/table45.xml" Id="rId1" /></Relationships>
</file>

<file path=xl/worksheets/_rels/sheet75.xml.rels><Relationships xmlns="http://schemas.openxmlformats.org/package/2006/relationships"><Relationship Type="http://schemas.openxmlformats.org/officeDocument/2006/relationships/table" Target="/xl/tables/table46.xml" Id="rId1" /></Relationships>
</file>

<file path=xl/worksheets/_rels/sheet76.xml.rels><Relationships xmlns="http://schemas.openxmlformats.org/package/2006/relationships"><Relationship Type="http://schemas.openxmlformats.org/officeDocument/2006/relationships/table" Target="/xl/tables/table47.xml" Id="rId1" /></Relationships>
</file>

<file path=xl/worksheets/_rels/sheet77.xml.rels><Relationships xmlns="http://schemas.openxmlformats.org/package/2006/relationships"><Relationship Type="http://schemas.openxmlformats.org/officeDocument/2006/relationships/table" Target="/xl/tables/table48.xml" Id="rId1" /></Relationships>
</file>

<file path=xl/worksheets/_rels/sheet78.xml.rels><Relationships xmlns="http://schemas.openxmlformats.org/package/2006/relationships"><Relationship Type="http://schemas.openxmlformats.org/officeDocument/2006/relationships/table" Target="/xl/tables/table49.xml" Id="rId1" /></Relationships>
</file>

<file path=xl/worksheets/_rels/sheet80.xml.rels><Relationships xmlns="http://schemas.openxmlformats.org/package/2006/relationships"><Relationship Type="http://schemas.openxmlformats.org/officeDocument/2006/relationships/table" Target="/xl/tables/table50.xml" Id="rId1" /></Relationships>
</file>

<file path=xl/worksheets/sheet1.xml><?xml version="1.0" encoding="utf-8"?>
<worksheet xmlns="http://schemas.openxmlformats.org/spreadsheetml/2006/main">
  <sheetPr>
    <tabColor rgb="00002060"/>
    <outlinePr summaryBelow="1" summaryRight="1"/>
    <pageSetUpPr/>
  </sheetPr>
  <dimension ref="A1:H102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56" customHeight="1">
      <c r="A1" s="1" t="inlineStr">
        <is>
          <t>FNID AREA 3 — INTEGRATED OPERATIONAL WORKBOOK</t>
        </is>
      </c>
    </row>
    <row r="2">
      <c r="A2" s="2" t="inlineStr">
        <is>
          <t>Firearm and Narcotics Investigation Division | Area 3 | Jamaica Constabulary Force</t>
        </is>
      </c>
    </row>
    <row r="3">
      <c r="A3" s="3" t="inlineStr">
        <is>
          <t>Operational Management System — Intelligence | Cases | Operations | Evidence | Transport | Demand Reduction | Performance</t>
        </is>
      </c>
    </row>
    <row r="5" ht="26" customHeight="1">
      <c r="A5" s="4" t="inlineStr">
        <is>
          <t>UNIT PORTALS</t>
        </is>
      </c>
    </row>
    <row r="6">
      <c r="A6" s="5" t="inlineStr">
        <is>
          <t xml:space="preserve">  &gt;&gt; Portal_Registry</t>
        </is>
      </c>
      <c r="B6" s="62" t="inlineStr">
        <is>
          <t>Registry — Case Registration &amp; CR Tracking</t>
        </is>
      </c>
      <c r="C6" s="57" t="n"/>
      <c r="D6" s="57" t="n"/>
      <c r="E6" s="57" t="n"/>
      <c r="F6" s="57" t="n"/>
      <c r="G6" s="57" t="n"/>
      <c r="H6" s="57" t="n"/>
    </row>
    <row r="7">
      <c r="A7" s="5" t="inlineStr">
        <is>
          <t xml:space="preserve">  &gt;&gt; Portal_Investigations</t>
        </is>
      </c>
      <c r="B7" s="62" t="inlineStr">
        <is>
          <t>Investigations — Case Progress &amp; Reviews</t>
        </is>
      </c>
      <c r="C7" s="57" t="n"/>
      <c r="D7" s="57" t="n"/>
      <c r="E7" s="57" t="n"/>
      <c r="F7" s="57" t="n"/>
      <c r="G7" s="57" t="n"/>
      <c r="H7" s="57" t="n"/>
    </row>
    <row r="8">
      <c r="A8" s="5" t="inlineStr">
        <is>
          <t xml:space="preserve">  &gt;&gt; Portal_Operations</t>
        </is>
      </c>
      <c r="B8" s="62" t="inlineStr">
        <is>
          <t>Operations — Ops Activity &amp; FCSI Tracking</t>
        </is>
      </c>
      <c r="C8" s="57" t="n"/>
      <c r="D8" s="57" t="n"/>
      <c r="E8" s="57" t="n"/>
      <c r="F8" s="57" t="n"/>
      <c r="G8" s="57" t="n"/>
      <c r="H8" s="57" t="n"/>
    </row>
    <row r="9">
      <c r="A9" s="5" t="inlineStr">
        <is>
          <t xml:space="preserve">  &gt;&gt; Portal_Intelligence</t>
        </is>
      </c>
      <c r="B9" s="62" t="inlineStr">
        <is>
          <t>Intelligence — Lead Management &amp; Briefings</t>
        </is>
      </c>
      <c r="C9" s="57" t="n"/>
      <c r="D9" s="57" t="n"/>
      <c r="E9" s="57" t="n"/>
      <c r="F9" s="57" t="n"/>
      <c r="G9" s="57" t="n"/>
      <c r="H9" s="57" t="n"/>
    </row>
    <row r="10">
      <c r="A10" s="5" t="inlineStr">
        <is>
          <t xml:space="preserve">  &gt;&gt; Portal_Transport</t>
        </is>
      </c>
      <c r="B10" s="62" t="inlineStr">
        <is>
          <t>Transport — Fleet, Usage, Fuel &amp; Maintenance</t>
        </is>
      </c>
      <c r="C10" s="57" t="n"/>
      <c r="D10" s="57" t="n"/>
      <c r="E10" s="57" t="n"/>
      <c r="F10" s="57" t="n"/>
      <c r="G10" s="57" t="n"/>
      <c r="H10" s="57" t="n"/>
    </row>
    <row r="11">
      <c r="A11" s="5" t="inlineStr">
        <is>
          <t xml:space="preserve">  &gt;&gt; Portal_DemandReduction</t>
        </is>
      </c>
      <c r="B11" s="62" t="inlineStr">
        <is>
          <t>Demand Reduction — Community Outreach</t>
        </is>
      </c>
      <c r="C11" s="57" t="n"/>
      <c r="D11" s="57" t="n"/>
      <c r="E11" s="57" t="n"/>
      <c r="F11" s="57" t="n"/>
      <c r="G11" s="57" t="n"/>
      <c r="H11" s="57" t="n"/>
    </row>
    <row r="12">
      <c r="A12" s="5" t="inlineStr">
        <is>
          <t xml:space="preserve">  &gt;&gt; Portal_AdminHRM</t>
        </is>
      </c>
      <c r="B12" s="62" t="inlineStr">
        <is>
          <t>Admin/HRM — Personnel &amp; Administration</t>
        </is>
      </c>
      <c r="C12" s="57" t="n"/>
      <c r="D12" s="57" t="n"/>
      <c r="E12" s="57" t="n"/>
      <c r="F12" s="57" t="n"/>
      <c r="G12" s="57" t="n"/>
      <c r="H12" s="57" t="n"/>
    </row>
    <row r="13">
      <c r="A13" s="5" t="inlineStr">
        <is>
          <t xml:space="preserve">  &gt;&gt; Portal_Training</t>
        </is>
      </c>
      <c r="B13" s="62" t="inlineStr">
        <is>
          <t>Training — Capacity Building &amp; Certifications</t>
        </is>
      </c>
      <c r="C13" s="57" t="n"/>
      <c r="D13" s="57" t="n"/>
      <c r="E13" s="57" t="n"/>
      <c r="F13" s="57" t="n"/>
      <c r="G13" s="57" t="n"/>
      <c r="H13" s="57" t="n"/>
    </row>
    <row r="14">
      <c r="A14" s="5" t="inlineStr">
        <is>
          <t xml:space="preserve">  &gt;&gt; Portal_Oversight</t>
        </is>
      </c>
      <c r="B14" s="62" t="inlineStr">
        <is>
          <t>Oversight — Compliance &amp; Governance</t>
        </is>
      </c>
      <c r="C14" s="57" t="n"/>
      <c r="D14" s="57" t="n"/>
      <c r="E14" s="57" t="n"/>
      <c r="F14" s="57" t="n"/>
      <c r="G14" s="57" t="n"/>
      <c r="H14" s="57" t="n"/>
    </row>
    <row r="16" ht="26" customHeight="1">
      <c r="A16" s="8" t="inlineStr">
        <is>
          <t>DASHBOARDS</t>
        </is>
      </c>
    </row>
    <row r="17">
      <c r="A17" s="5" t="inlineStr">
        <is>
          <t xml:space="preserve">  &gt;&gt; Dash_Executive</t>
        </is>
      </c>
      <c r="B17" s="62" t="inlineStr">
        <is>
          <t>Executive Dashboard — Full Operational Picture</t>
        </is>
      </c>
      <c r="C17" s="57" t="n"/>
      <c r="D17" s="57" t="n"/>
      <c r="E17" s="57" t="n"/>
      <c r="F17" s="57" t="n"/>
      <c r="G17" s="57" t="n"/>
      <c r="H17" s="57" t="n"/>
    </row>
    <row r="18">
      <c r="A18" s="5" t="inlineStr">
        <is>
          <t xml:space="preserve">  &gt;&gt; Dash_FCSI</t>
        </is>
      </c>
      <c r="B18" s="62" t="inlineStr">
        <is>
          <t>FCSI Dashboard — Focused Crime Suppression Initiative</t>
        </is>
      </c>
      <c r="C18" s="57" t="n"/>
      <c r="D18" s="57" t="n"/>
      <c r="E18" s="57" t="n"/>
      <c r="F18" s="57" t="n"/>
      <c r="G18" s="57" t="n"/>
      <c r="H18" s="57" t="n"/>
    </row>
    <row r="19">
      <c r="A19" s="5" t="inlineStr">
        <is>
          <t xml:space="preserve">  &gt;&gt; Statistics_Hub</t>
        </is>
      </c>
      <c r="B19" s="62" t="inlineStr">
        <is>
          <t>Central Statistics Hub — All Modules Aggregated</t>
        </is>
      </c>
      <c r="C19" s="57" t="n"/>
      <c r="D19" s="57" t="n"/>
      <c r="E19" s="57" t="n"/>
      <c r="F19" s="57" t="n"/>
      <c r="G19" s="57" t="n"/>
      <c r="H19" s="57" t="n"/>
    </row>
    <row r="20">
      <c r="A20" s="5" t="inlineStr">
        <is>
          <t xml:space="preserve">  &gt;&gt; Dash_Registry</t>
        </is>
      </c>
      <c r="B20" s="62" t="inlineStr">
        <is>
          <t>Registry Dashboard</t>
        </is>
      </c>
      <c r="C20" s="57" t="n"/>
      <c r="D20" s="57" t="n"/>
      <c r="E20" s="57" t="n"/>
      <c r="F20" s="57" t="n"/>
      <c r="G20" s="57" t="n"/>
      <c r="H20" s="57" t="n"/>
    </row>
    <row r="21">
      <c r="A21" s="5" t="inlineStr">
        <is>
          <t xml:space="preserve">  &gt;&gt; Dash_Investigations</t>
        </is>
      </c>
      <c r="B21" s="62" t="inlineStr">
        <is>
          <t>Investigations Dashboard</t>
        </is>
      </c>
      <c r="C21" s="57" t="n"/>
      <c r="D21" s="57" t="n"/>
      <c r="E21" s="57" t="n"/>
      <c r="F21" s="57" t="n"/>
      <c r="G21" s="57" t="n"/>
      <c r="H21" s="57" t="n"/>
    </row>
    <row r="22">
      <c r="A22" s="5" t="inlineStr">
        <is>
          <t xml:space="preserve">  &gt;&gt; Dash_Operations</t>
        </is>
      </c>
      <c r="B22" s="62" t="inlineStr">
        <is>
          <t>Operations Dashboard</t>
        </is>
      </c>
      <c r="C22" s="57" t="n"/>
      <c r="D22" s="57" t="n"/>
      <c r="E22" s="57" t="n"/>
      <c r="F22" s="57" t="n"/>
      <c r="G22" s="57" t="n"/>
      <c r="H22" s="57" t="n"/>
    </row>
    <row r="23">
      <c r="A23" s="5" t="inlineStr">
        <is>
          <t xml:space="preserve">  &gt;&gt; Dash_Intelligence</t>
        </is>
      </c>
      <c r="B23" s="62" t="inlineStr">
        <is>
          <t>Intelligence Dashboard</t>
        </is>
      </c>
      <c r="C23" s="57" t="n"/>
      <c r="D23" s="57" t="n"/>
      <c r="E23" s="57" t="n"/>
      <c r="F23" s="57" t="n"/>
      <c r="G23" s="57" t="n"/>
      <c r="H23" s="57" t="n"/>
    </row>
    <row r="24">
      <c r="A24" s="5" t="inlineStr">
        <is>
          <t xml:space="preserve">  &gt;&gt; Dash_Transport</t>
        </is>
      </c>
      <c r="B24" s="62" t="inlineStr">
        <is>
          <t>Transport Dashboard</t>
        </is>
      </c>
      <c r="C24" s="57" t="n"/>
      <c r="D24" s="57" t="n"/>
      <c r="E24" s="57" t="n"/>
      <c r="F24" s="57" t="n"/>
      <c r="G24" s="57" t="n"/>
      <c r="H24" s="57" t="n"/>
    </row>
    <row r="25">
      <c r="A25" s="5" t="inlineStr">
        <is>
          <t xml:space="preserve">  &gt;&gt; Dash_Evidence</t>
        </is>
      </c>
      <c r="B25" s="62" t="inlineStr">
        <is>
          <t>Evidence &amp; Forensics Dashboard</t>
        </is>
      </c>
      <c r="C25" s="57" t="n"/>
      <c r="D25" s="57" t="n"/>
      <c r="E25" s="57" t="n"/>
      <c r="F25" s="57" t="n"/>
      <c r="G25" s="57" t="n"/>
      <c r="H25" s="57" t="n"/>
    </row>
    <row r="26">
      <c r="A26" s="5" t="inlineStr">
        <is>
          <t xml:space="preserve">  &gt;&gt; Dash_DemandReduction</t>
        </is>
      </c>
      <c r="B26" s="62" t="inlineStr">
        <is>
          <t>Demand Reduction Dashboard</t>
        </is>
      </c>
      <c r="C26" s="57" t="n"/>
      <c r="D26" s="57" t="n"/>
      <c r="E26" s="57" t="n"/>
      <c r="F26" s="57" t="n"/>
      <c r="G26" s="57" t="n"/>
      <c r="H26" s="57" t="n"/>
    </row>
    <row r="27">
      <c r="A27" s="5" t="inlineStr">
        <is>
          <t xml:space="preserve">  &gt;&gt; Dash_Oversight</t>
        </is>
      </c>
      <c r="B27" s="62" t="inlineStr">
        <is>
          <t>Oversight &amp; Compliance Dashboard</t>
        </is>
      </c>
      <c r="C27" s="57" t="n"/>
      <c r="D27" s="57" t="n"/>
      <c r="E27" s="57" t="n"/>
      <c r="F27" s="57" t="n"/>
      <c r="G27" s="57" t="n"/>
      <c r="H27" s="57" t="n"/>
    </row>
    <row r="29" ht="26" customHeight="1">
      <c r="A29" s="9" t="inlineStr">
        <is>
          <t>DATA TABLES (Back-End)</t>
        </is>
      </c>
    </row>
    <row r="30">
      <c r="A30" s="5" t="inlineStr">
        <is>
          <t xml:space="preserve">  &gt;&gt; tbl_Cases</t>
        </is>
      </c>
      <c r="B30" s="62" t="inlineStr">
        <is>
          <t>Cases Register</t>
        </is>
      </c>
      <c r="C30" s="57" t="n"/>
      <c r="D30" s="57" t="n"/>
      <c r="E30" s="57" t="n"/>
      <c r="F30" s="57" t="n"/>
      <c r="G30" s="57" t="n"/>
      <c r="H30" s="57" t="n"/>
    </row>
    <row r="31">
      <c r="A31" s="5" t="inlineStr">
        <is>
          <t xml:space="preserve">  &gt;&gt; tbl_Actions</t>
        </is>
      </c>
      <c r="B31" s="62" t="inlineStr">
        <is>
          <t>Action Items</t>
        </is>
      </c>
      <c r="C31" s="57" t="n"/>
      <c r="D31" s="57" t="n"/>
      <c r="E31" s="57" t="n"/>
      <c r="F31" s="57" t="n"/>
      <c r="G31" s="57" t="n"/>
      <c r="H31" s="57" t="n"/>
    </row>
    <row r="32">
      <c r="A32" s="5" t="inlineStr">
        <is>
          <t xml:space="preserve">  &gt;&gt; tbl_Reviews</t>
        </is>
      </c>
      <c r="B32" s="62" t="inlineStr">
        <is>
          <t>Supervisory Reviews</t>
        </is>
      </c>
      <c r="C32" s="57" t="n"/>
      <c r="D32" s="57" t="n"/>
      <c r="E32" s="57" t="n"/>
      <c r="F32" s="57" t="n"/>
      <c r="G32" s="57" t="n"/>
      <c r="H32" s="57" t="n"/>
    </row>
    <row r="33">
      <c r="A33" s="5" t="inlineStr">
        <is>
          <t xml:space="preserve">  &gt;&gt; tbl_DiaryEntries</t>
        </is>
      </c>
      <c r="B33" s="62" t="inlineStr">
        <is>
          <t>Investigation Diary</t>
        </is>
      </c>
      <c r="C33" s="57" t="n"/>
      <c r="D33" s="57" t="n"/>
      <c r="E33" s="57" t="n"/>
      <c r="F33" s="57" t="n"/>
      <c r="G33" s="57" t="n"/>
      <c r="H33" s="57" t="n"/>
    </row>
    <row r="34">
      <c r="A34" s="5" t="inlineStr">
        <is>
          <t xml:space="preserve">  &gt;&gt; tbl_RadioMessages</t>
        </is>
      </c>
      <c r="B34" s="62" t="inlineStr">
        <is>
          <t>Radio Messages</t>
        </is>
      </c>
      <c r="C34" s="57" t="n"/>
      <c r="D34" s="57" t="n"/>
      <c r="E34" s="57" t="n"/>
      <c r="F34" s="57" t="n"/>
      <c r="G34" s="57" t="n"/>
      <c r="H34" s="57" t="n"/>
    </row>
    <row r="35">
      <c r="A35" s="5" t="inlineStr">
        <is>
          <t xml:space="preserve">  &gt;&gt; tbl_Persons</t>
        </is>
      </c>
      <c r="B35" s="62" t="inlineStr">
        <is>
          <t>Persons of Interest</t>
        </is>
      </c>
      <c r="C35" s="57" t="n"/>
      <c r="D35" s="57" t="n"/>
      <c r="E35" s="57" t="n"/>
      <c r="F35" s="57" t="n"/>
      <c r="G35" s="57" t="n"/>
      <c r="H35" s="57" t="n"/>
    </row>
    <row r="36">
      <c r="A36" s="5" t="inlineStr">
        <is>
          <t xml:space="preserve">  &gt;&gt; tbl_MCR_Raw</t>
        </is>
      </c>
      <c r="B36" s="62" t="inlineStr">
        <is>
          <t>Morning Crime Report Intake</t>
        </is>
      </c>
      <c r="C36" s="57" t="n"/>
      <c r="D36" s="57" t="n"/>
      <c r="E36" s="57" t="n"/>
      <c r="F36" s="57" t="n"/>
      <c r="G36" s="57" t="n"/>
      <c r="H36" s="57" t="n"/>
    </row>
    <row r="37">
      <c r="A37" s="5" t="inlineStr">
        <is>
          <t xml:space="preserve">  &gt;&gt; tbl_Leads</t>
        </is>
      </c>
      <c r="B37" s="62" t="inlineStr">
        <is>
          <t>Lead Register</t>
        </is>
      </c>
      <c r="C37" s="57" t="n"/>
      <c r="D37" s="57" t="n"/>
      <c r="E37" s="57" t="n"/>
      <c r="F37" s="57" t="n"/>
      <c r="G37" s="57" t="n"/>
      <c r="H37" s="57" t="n"/>
    </row>
    <row r="38">
      <c r="A38" s="5" t="inlineStr">
        <is>
          <t xml:space="preserve">  &gt;&gt; tbl_FollowUpRecs</t>
        </is>
      </c>
      <c r="B38" s="62" t="inlineStr">
        <is>
          <t>Follow-Up Recommendations</t>
        </is>
      </c>
      <c r="C38" s="57" t="n"/>
      <c r="D38" s="57" t="n"/>
      <c r="E38" s="57" t="n"/>
      <c r="F38" s="57" t="n"/>
      <c r="G38" s="57" t="n"/>
      <c r="H38" s="57" t="n"/>
    </row>
    <row r="39">
      <c r="A39" s="5" t="inlineStr">
        <is>
          <t xml:space="preserve">  &gt;&gt; tbl_IntelBriefings</t>
        </is>
      </c>
      <c r="B39" s="62" t="inlineStr">
        <is>
          <t>Intelligence Briefings</t>
        </is>
      </c>
      <c r="C39" s="57" t="n"/>
      <c r="D39" s="57" t="n"/>
      <c r="E39" s="57" t="n"/>
      <c r="F39" s="57" t="n"/>
      <c r="G39" s="57" t="n"/>
      <c r="H39" s="57" t="n"/>
    </row>
    <row r="40">
      <c r="A40" s="5" t="inlineStr">
        <is>
          <t xml:space="preserve">  &gt;&gt; tbl_Operations</t>
        </is>
      </c>
      <c r="B40" s="62" t="inlineStr">
        <is>
          <t>Operations Register</t>
        </is>
      </c>
      <c r="C40" s="57" t="n"/>
      <c r="D40" s="57" t="n"/>
      <c r="E40" s="57" t="n"/>
      <c r="F40" s="57" t="n"/>
      <c r="G40" s="57" t="n"/>
      <c r="H40" s="57" t="n"/>
    </row>
    <row r="41">
      <c r="A41" s="5" t="inlineStr">
        <is>
          <t xml:space="preserve">  &gt;&gt; tbl_Exhibits</t>
        </is>
      </c>
      <c r="B41" s="62" t="inlineStr">
        <is>
          <t>Evidence/Exhibits Pool</t>
        </is>
      </c>
      <c r="C41" s="57" t="n"/>
      <c r="D41" s="57" t="n"/>
      <c r="E41" s="57" t="n"/>
      <c r="F41" s="57" t="n"/>
      <c r="G41" s="57" t="n"/>
      <c r="H41" s="57" t="n"/>
    </row>
    <row r="42">
      <c r="A42" s="5" t="inlineStr">
        <is>
          <t xml:space="preserve">  &gt;&gt; tbl_Vehicles</t>
        </is>
      </c>
      <c r="B42" s="62" t="inlineStr">
        <is>
          <t>Vehicle Register</t>
        </is>
      </c>
      <c r="C42" s="57" t="n"/>
      <c r="D42" s="57" t="n"/>
      <c r="E42" s="57" t="n"/>
      <c r="F42" s="57" t="n"/>
      <c r="G42" s="57" t="n"/>
      <c r="H42" s="57" t="n"/>
    </row>
    <row r="43">
      <c r="A43" s="5" t="inlineStr">
        <is>
          <t xml:space="preserve">  &gt;&gt; tbl_VehicleUsage</t>
        </is>
      </c>
      <c r="B43" s="62" t="inlineStr">
        <is>
          <t>Vehicle Usage Log</t>
        </is>
      </c>
      <c r="C43" s="57" t="n"/>
      <c r="D43" s="57" t="n"/>
      <c r="E43" s="57" t="n"/>
      <c r="F43" s="57" t="n"/>
      <c r="G43" s="57" t="n"/>
      <c r="H43" s="57" t="n"/>
    </row>
    <row r="44">
      <c r="A44" s="5" t="inlineStr">
        <is>
          <t xml:space="preserve">  &gt;&gt; tbl_FuelLog</t>
        </is>
      </c>
      <c r="B44" s="62" t="inlineStr">
        <is>
          <t>Fuel Log</t>
        </is>
      </c>
      <c r="C44" s="57" t="n"/>
      <c r="D44" s="57" t="n"/>
      <c r="E44" s="57" t="n"/>
      <c r="F44" s="57" t="n"/>
      <c r="G44" s="57" t="n"/>
      <c r="H44" s="57" t="n"/>
    </row>
    <row r="45">
      <c r="A45" s="5" t="inlineStr">
        <is>
          <t xml:space="preserve">  &gt;&gt; tbl_Maintenance</t>
        </is>
      </c>
      <c r="B45" s="62" t="inlineStr">
        <is>
          <t>Maintenance Register</t>
        </is>
      </c>
      <c r="C45" s="57" t="n"/>
      <c r="D45" s="57" t="n"/>
      <c r="E45" s="57" t="n"/>
      <c r="F45" s="57" t="n"/>
      <c r="G45" s="57" t="n"/>
      <c r="H45" s="57" t="n"/>
    </row>
    <row r="46">
      <c r="A46" s="5" t="inlineStr">
        <is>
          <t xml:space="preserve">  &gt;&gt; tbl_Drivers</t>
        </is>
      </c>
      <c r="B46" s="62" t="inlineStr">
        <is>
          <t>Driver Registry</t>
        </is>
      </c>
      <c r="C46" s="57" t="n"/>
      <c r="D46" s="57" t="n"/>
      <c r="E46" s="57" t="n"/>
      <c r="F46" s="57" t="n"/>
      <c r="G46" s="57" t="n"/>
      <c r="H46" s="57" t="n"/>
    </row>
    <row r="47">
      <c r="A47" s="5" t="inlineStr">
        <is>
          <t xml:space="preserve">  &gt;&gt; tbl_DemandReduction</t>
        </is>
      </c>
      <c r="B47" s="62" t="inlineStr">
        <is>
          <t>Demand Reduction Lectures</t>
        </is>
      </c>
      <c r="C47" s="57" t="n"/>
      <c r="D47" s="57" t="n"/>
      <c r="E47" s="57" t="n"/>
      <c r="F47" s="57" t="n"/>
      <c r="G47" s="57" t="n"/>
      <c r="H47" s="57" t="n"/>
    </row>
    <row r="48">
      <c r="A48" s="5" t="inlineStr">
        <is>
          <t xml:space="preserve">  &gt;&gt; tbl_UnitPlans</t>
        </is>
      </c>
      <c r="B48" s="62" t="inlineStr">
        <is>
          <t>Unit Plans, Targets &amp; Performance</t>
        </is>
      </c>
      <c r="C48" s="57" t="n"/>
      <c r="D48" s="57" t="n"/>
      <c r="E48" s="57" t="n"/>
      <c r="F48" s="57" t="n"/>
      <c r="G48" s="57" t="n"/>
      <c r="H48" s="57" t="n"/>
    </row>
    <row r="50" ht="26" customHeight="1">
      <c r="A50" s="10" t="inlineStr">
        <is>
          <t>REFERENCE &amp; FORMS</t>
        </is>
      </c>
    </row>
    <row r="51">
      <c r="A51" s="5" t="inlineStr">
        <is>
          <t xml:space="preserve">  &gt;&gt; Lookups</t>
        </is>
      </c>
      <c r="B51" s="62" t="inlineStr">
        <is>
          <t>Dropdown Lists &amp; Reference Data</t>
        </is>
      </c>
      <c r="C51" s="57" t="n"/>
      <c r="D51" s="57" t="n"/>
      <c r="E51" s="57" t="n"/>
      <c r="F51" s="57" t="n"/>
      <c r="G51" s="57" t="n"/>
      <c r="H51" s="57" t="n"/>
    </row>
    <row r="52">
      <c r="A52" s="5" t="inlineStr">
        <is>
          <t xml:space="preserve">  &gt;&gt; OffenceClassMap</t>
        </is>
      </c>
      <c r="B52" s="62" t="inlineStr">
        <is>
          <t>Offence Classification &amp; FNID Routing Map</t>
        </is>
      </c>
      <c r="C52" s="57" t="n"/>
      <c r="D52" s="57" t="n"/>
      <c r="E52" s="57" t="n"/>
      <c r="F52" s="57" t="n"/>
      <c r="G52" s="57" t="n"/>
      <c r="H52" s="57" t="n"/>
    </row>
    <row r="53">
      <c r="A53" s="5" t="inlineStr">
        <is>
          <t xml:space="preserve">  &gt;&gt; ForensicRouting</t>
        </is>
      </c>
      <c r="B53" s="62" t="inlineStr">
        <is>
          <t>Evidence → Forensic Agency Routing</t>
        </is>
      </c>
      <c r="C53" s="57" t="n"/>
      <c r="D53" s="57" t="n"/>
      <c r="E53" s="57" t="n"/>
      <c r="F53" s="57" t="n"/>
      <c r="G53" s="57" t="n"/>
      <c r="H53" s="57" t="n"/>
    </row>
    <row r="54">
      <c r="A54" s="5" t="inlineStr">
        <is>
          <t xml:space="preserve">  &gt;&gt; EvidenceUseMap</t>
        </is>
      </c>
      <c r="B54" s="62" t="inlineStr">
        <is>
          <t>Evidence → Evidential Use Mapping</t>
        </is>
      </c>
      <c r="C54" s="57" t="n"/>
      <c r="D54" s="57" t="n"/>
      <c r="E54" s="57" t="n"/>
      <c r="F54" s="57" t="n"/>
      <c r="G54" s="57" t="n"/>
      <c r="H54" s="57" t="n"/>
    </row>
    <row r="55">
      <c r="A55" s="5" t="inlineStr">
        <is>
          <t xml:space="preserve">  &gt;&gt; Form_CR1</t>
        </is>
      </c>
      <c r="B55" s="62" t="inlineStr">
        <is>
          <t>CR1 Form Template (Printable)</t>
        </is>
      </c>
      <c r="C55" s="57" t="n"/>
      <c r="D55" s="57" t="n"/>
      <c r="E55" s="57" t="n"/>
      <c r="F55" s="57" t="n"/>
      <c r="G55" s="57" t="n"/>
      <c r="H55" s="57" t="n"/>
    </row>
    <row r="56">
      <c r="A56" s="5" t="inlineStr">
        <is>
          <t xml:space="preserve">  &gt;&gt; Form_CR2</t>
        </is>
      </c>
      <c r="B56" s="62" t="inlineStr">
        <is>
          <t>CR2 Form Template (Printable)</t>
        </is>
      </c>
      <c r="C56" s="57" t="n"/>
      <c r="D56" s="57" t="n"/>
      <c r="E56" s="57" t="n"/>
      <c r="F56" s="57" t="n"/>
      <c r="G56" s="57" t="n"/>
      <c r="H56" s="57" t="n"/>
    </row>
    <row r="57">
      <c r="A57" s="5" t="inlineStr">
        <is>
          <t xml:space="preserve">  &gt;&gt; Form_CR5</t>
        </is>
      </c>
      <c r="B57" s="62" t="inlineStr">
        <is>
          <t>CR5 Form Template (Printable)</t>
        </is>
      </c>
      <c r="C57" s="57" t="n"/>
      <c r="D57" s="57" t="n"/>
      <c r="E57" s="57" t="n"/>
      <c r="F57" s="57" t="n"/>
      <c r="G57" s="57" t="n"/>
      <c r="H57" s="57" t="n"/>
    </row>
    <row r="58">
      <c r="A58" s="5" t="inlineStr">
        <is>
          <t xml:space="preserve">  &gt;&gt; Form_CaseSummary</t>
        </is>
      </c>
      <c r="B58" s="62" t="inlineStr">
        <is>
          <t>Case Summary Report Template</t>
        </is>
      </c>
      <c r="C58" s="57" t="n"/>
      <c r="D58" s="57" t="n"/>
      <c r="E58" s="57" t="n"/>
      <c r="F58" s="57" t="n"/>
      <c r="G58" s="57" t="n"/>
      <c r="H58" s="57" t="n"/>
    </row>
    <row r="61">
      <c r="A61" s="11" t="inlineStr">
        <is>
          <t>FNID Area 3 Operational Workbook | Confidential — For Official Use Only | Generated 2026-02-26</t>
        </is>
      </c>
    </row>
    <row r="63" ht="26" customHeight="1">
      <c r="A63" s="8" t="inlineStr">
        <is>
          <t>NEW TABLES (Audit Patch — Gap Remediation)</t>
        </is>
      </c>
    </row>
    <row r="64">
      <c r="A64" s="5" t="inlineStr">
        <is>
          <t xml:space="preserve">  &gt;&gt; tbl_Personnel</t>
        </is>
      </c>
      <c r="B64" s="62" t="inlineStr">
        <is>
          <t>Personnel Register — Staff details, qualifications, postings</t>
        </is>
      </c>
      <c r="C64" s="57" t="n"/>
      <c r="D64" s="57" t="n"/>
      <c r="E64" s="57" t="n"/>
      <c r="F64" s="57" t="n"/>
      <c r="G64" s="57" t="n"/>
      <c r="H64" s="57" t="n"/>
    </row>
    <row r="65">
      <c r="A65" s="5" t="inlineStr">
        <is>
          <t xml:space="preserve">  &gt;&gt; tbl_Training</t>
        </is>
      </c>
      <c r="B65" s="62" t="inlineStr">
        <is>
          <t>Training Log — Courses, attendance, certifications, costs</t>
        </is>
      </c>
      <c r="C65" s="57" t="n"/>
      <c r="D65" s="57" t="n"/>
      <c r="E65" s="57" t="n"/>
      <c r="F65" s="57" t="n"/>
      <c r="G65" s="57" t="n"/>
      <c r="H65" s="57" t="n"/>
    </row>
    <row r="66">
      <c r="A66" s="5" t="inlineStr">
        <is>
          <t xml:space="preserve">  &gt;&gt; tbl_CourtDates</t>
        </is>
      </c>
      <c r="B66" s="62" t="inlineStr">
        <is>
          <t>Court Tracking — Hearings, outcomes, bail, sentencing</t>
        </is>
      </c>
      <c r="C66" s="57" t="n"/>
      <c r="D66" s="57" t="n"/>
      <c r="E66" s="57" t="n"/>
      <c r="F66" s="57" t="n"/>
      <c r="G66" s="57" t="n"/>
      <c r="H66" s="57" t="n"/>
    </row>
    <row r="67">
      <c r="A67" s="5" t="inlineStr">
        <is>
          <t xml:space="preserve">  &gt;&gt; tbl_Arrests</t>
        </is>
      </c>
      <c r="B67" s="62" t="inlineStr">
        <is>
          <t>Arrest Register — Detailed arrest records, charges, bail/remand</t>
        </is>
      </c>
      <c r="C67" s="57" t="n"/>
      <c r="D67" s="57" t="n"/>
      <c r="E67" s="57" t="n"/>
      <c r="F67" s="57" t="n"/>
      <c r="G67" s="57" t="n"/>
      <c r="H67" s="57" t="n"/>
    </row>
    <row r="68">
      <c r="A68" s="5" t="inlineStr">
        <is>
          <t xml:space="preserve">  &gt;&gt; tbl_Seizures</t>
        </is>
      </c>
      <c r="B68" s="62" t="inlineStr">
        <is>
          <t>Seizures Register — Individual seized items linked to ops/cases</t>
        </is>
      </c>
      <c r="C68" s="57" t="n"/>
      <c r="D68" s="57" t="n"/>
      <c r="E68" s="57" t="n"/>
      <c r="F68" s="57" t="n"/>
      <c r="G68" s="57" t="n"/>
      <c r="H68" s="57" t="n"/>
    </row>
    <row r="69">
      <c r="A69" s="5" t="inlineStr">
        <is>
          <t xml:space="preserve">  &gt;&gt; tbl_Warrants</t>
        </is>
      </c>
      <c r="B69" s="62" t="inlineStr">
        <is>
          <t>Warrant Register — Applications, issuance, execution, return to JP</t>
        </is>
      </c>
      <c r="C69" s="57" t="n"/>
      <c r="D69" s="57" t="n"/>
      <c r="E69" s="57" t="n"/>
      <c r="F69" s="57" t="n"/>
      <c r="G69" s="57" t="n"/>
      <c r="H69" s="57" t="n"/>
    </row>
    <row r="70">
      <c r="A70" s="5" t="inlineStr">
        <is>
          <t xml:space="preserve">  &gt;&gt; tbl_Informants</t>
        </is>
      </c>
      <c r="B70" s="62" t="inlineStr">
        <is>
          <t>Informant Management — Code names, handlers, reliability, payments</t>
        </is>
      </c>
      <c r="C70" s="57" t="n"/>
      <c r="D70" s="57" t="n"/>
      <c r="E70" s="57" t="n"/>
      <c r="F70" s="57" t="n"/>
      <c r="G70" s="57" t="n"/>
      <c r="H70" s="57" t="n"/>
    </row>
    <row r="71">
      <c r="A71" s="5" t="inlineStr">
        <is>
          <t xml:space="preserve">  &gt;&gt; tbl_DutyRoster</t>
        </is>
      </c>
      <c r="B71" s="62" t="inlineStr">
        <is>
          <t>Duty Roster — Shifts, assignments, overtime, leave tracking</t>
        </is>
      </c>
      <c r="C71" s="57" t="n"/>
      <c r="D71" s="57" t="n"/>
      <c r="E71" s="57" t="n"/>
      <c r="F71" s="57" t="n"/>
      <c r="G71" s="57" t="n"/>
      <c r="H71" s="57" t="n"/>
    </row>
    <row r="72">
      <c r="A72" s="5" t="inlineStr">
        <is>
          <t xml:space="preserve">  &gt;&gt; tbl_CustodyTransfers</t>
        </is>
      </c>
      <c r="B72" s="62" t="inlineStr">
        <is>
          <t>Chain of Custody Transfers — Exhibit handover audit trail</t>
        </is>
      </c>
      <c r="C72" s="57" t="n"/>
      <c r="D72" s="57" t="n"/>
      <c r="E72" s="57" t="n"/>
      <c r="F72" s="57" t="n"/>
      <c r="G72" s="57" t="n"/>
      <c r="H72" s="57" t="n"/>
    </row>
    <row r="73">
      <c r="A73" s="5" t="inlineStr">
        <is>
          <t xml:space="preserve">  &gt;&gt; tbl_SceneLog</t>
        </is>
      </c>
      <c r="B73" s="62" t="inlineStr">
        <is>
          <t>Scene Processing Log — Crime scene details, evidence collection</t>
        </is>
      </c>
      <c r="C73" s="57" t="n"/>
      <c r="D73" s="57" t="n"/>
      <c r="E73" s="57" t="n"/>
      <c r="F73" s="57" t="n"/>
      <c r="G73" s="57" t="n"/>
      <c r="H73" s="57" t="n"/>
    </row>
    <row r="75" ht="26" customHeight="1">
      <c r="A75" s="43" t="inlineStr">
        <is>
          <t>SOP COMPLIANCE TABLES (Case Management Policy)</t>
        </is>
      </c>
    </row>
    <row r="76">
      <c r="A76" s="5" t="inlineStr">
        <is>
          <t xml:space="preserve">  &gt;&gt; tbl_Witnesses</t>
        </is>
      </c>
      <c r="B76" s="62" t="inlineStr">
        <is>
          <t>Witness Register — Statements, summons, protection, availability</t>
        </is>
      </c>
      <c r="C76" s="57" t="n"/>
      <c r="D76" s="57" t="n"/>
      <c r="E76" s="57" t="n"/>
      <c r="F76" s="57" t="n"/>
      <c r="G76" s="57" t="n"/>
      <c r="H76" s="57" t="n"/>
    </row>
    <row r="77">
      <c r="A77" s="5" t="inlineStr">
        <is>
          <t xml:space="preserve">  &gt;&gt; tbl_Statements</t>
        </is>
      </c>
      <c r="B77" s="62" t="inlineStr">
        <is>
          <t>Statement Register — Formal statements, caution, legal rep, disclosure</t>
        </is>
      </c>
      <c r="C77" s="57" t="n"/>
      <c r="D77" s="57" t="n"/>
      <c r="E77" s="57" t="n"/>
      <c r="F77" s="57" t="n"/>
      <c r="G77" s="57" t="n"/>
      <c r="H77" s="57" t="n"/>
    </row>
    <row r="78">
      <c r="A78" s="5" t="inlineStr">
        <is>
          <t xml:space="preserve">  &gt;&gt; tbl_CaseAssignments</t>
        </is>
      </c>
      <c r="B78" s="62" t="inlineStr">
        <is>
          <t>Case Assignment Log — Handovers, briefings, acknowledgements</t>
        </is>
      </c>
      <c r="C78" s="57" t="n"/>
      <c r="D78" s="57" t="n"/>
      <c r="E78" s="57" t="n"/>
      <c r="F78" s="57" t="n"/>
      <c r="G78" s="57" t="n"/>
      <c r="H78" s="57" t="n"/>
    </row>
    <row r="79">
      <c r="A79" s="5" t="inlineStr">
        <is>
          <t xml:space="preserve">  &gt;&gt; tbl_VictimContact</t>
        </is>
      </c>
      <c r="B79" s="62" t="inlineStr">
        <is>
          <t>Victim Contact Log — Updates, satisfaction, referrals, safety plans</t>
        </is>
      </c>
      <c r="C79" s="57" t="n"/>
      <c r="D79" s="57" t="n"/>
      <c r="E79" s="57" t="n"/>
      <c r="F79" s="57" t="n"/>
      <c r="G79" s="57" t="n"/>
      <c r="H79" s="57" t="n"/>
    </row>
    <row r="80">
      <c r="A80" s="5" t="inlineStr">
        <is>
          <t xml:space="preserve">  &gt;&gt; tbl_InvestigationPlans</t>
        </is>
      </c>
      <c r="B80" s="62" t="inlineStr">
        <is>
          <t>Investigation Plans — Hypothesis, lines of enquiry, milestones</t>
        </is>
      </c>
      <c r="C80" s="57" t="n"/>
      <c r="D80" s="57" t="n"/>
      <c r="E80" s="57" t="n"/>
      <c r="F80" s="57" t="n"/>
      <c r="G80" s="57" t="n"/>
      <c r="H80" s="57" t="n"/>
    </row>
    <row r="81">
      <c r="A81" s="5" t="inlineStr">
        <is>
          <t xml:space="preserve">  &gt;&gt; tbl_CaseFileChecklist</t>
        </is>
      </c>
      <c r="B81" s="62" t="inlineStr">
        <is>
          <t>File Completeness Checklist — 28-point compliance scoring</t>
        </is>
      </c>
      <c r="C81" s="57" t="n"/>
      <c r="D81" s="57" t="n"/>
      <c r="E81" s="57" t="n"/>
      <c r="F81" s="57" t="n"/>
      <c r="G81" s="57" t="n"/>
      <c r="H81" s="57" t="n"/>
    </row>
    <row r="82">
      <c r="A82" s="5" t="inlineStr">
        <is>
          <t xml:space="preserve">  &gt;&gt; tbl_Disclosure</t>
        </is>
      </c>
      <c r="B82" s="62" t="inlineStr">
        <is>
          <t>Prosecution Disclosure Log — Materials, redaction, continuing duty</t>
        </is>
      </c>
      <c r="C82" s="57" t="n"/>
      <c r="D82" s="57" t="n"/>
      <c r="E82" s="57" t="n"/>
      <c r="F82" s="57" t="n"/>
      <c r="G82" s="57" t="n"/>
      <c r="H82" s="57" t="n"/>
    </row>
    <row r="83">
      <c r="A83" s="5" t="inlineStr">
        <is>
          <t xml:space="preserve">  &gt;&gt; tbl_CommandConference</t>
        </is>
      </c>
      <c r="B83" s="62" t="inlineStr">
        <is>
          <t>Command Conference Notes — Directives, escalations, minutes</t>
        </is>
      </c>
      <c r="C83" s="57" t="n"/>
      <c r="D83" s="57" t="n"/>
      <c r="E83" s="57" t="n"/>
      <c r="F83" s="57" t="n"/>
      <c r="G83" s="57" t="n"/>
      <c r="H83" s="57" t="n"/>
    </row>
    <row r="84">
      <c r="A84" s="5" t="inlineStr">
        <is>
          <t xml:space="preserve">  &gt;&gt; Form_InvestigationPlan</t>
        </is>
      </c>
      <c r="B84" s="62" t="inlineStr">
        <is>
          <t>Investigation Plan Template (Printable)</t>
        </is>
      </c>
      <c r="C84" s="57" t="n"/>
      <c r="D84" s="57" t="n"/>
      <c r="E84" s="57" t="n"/>
      <c r="F84" s="57" t="n"/>
      <c r="G84" s="57" t="n"/>
      <c r="H84" s="57" t="n"/>
    </row>
    <row r="85">
      <c r="A85" s="5" t="inlineStr">
        <is>
          <t xml:space="preserve">  &gt;&gt; Form_FileChecklist</t>
        </is>
      </c>
      <c r="B85" s="62" t="inlineStr">
        <is>
          <t>Case File Checklist Template (Printable)</t>
        </is>
      </c>
      <c r="C85" s="57" t="n"/>
      <c r="D85" s="57" t="n"/>
      <c r="E85" s="57" t="n"/>
      <c r="F85" s="57" t="n"/>
      <c r="G85" s="57" t="n"/>
      <c r="H85" s="57" t="n"/>
    </row>
    <row r="86">
      <c r="A86" s="5" t="inlineStr">
        <is>
          <t xml:space="preserve">  &gt;&gt; Form_WitnessSummons</t>
        </is>
      </c>
      <c r="B86" s="62" t="inlineStr">
        <is>
          <t>Witness Summons Tracking Form (Printable)</t>
        </is>
      </c>
      <c r="C86" s="57" t="n"/>
      <c r="D86" s="57" t="n"/>
      <c r="E86" s="57" t="n"/>
      <c r="F86" s="57" t="n"/>
      <c r="G86" s="57" t="n"/>
      <c r="H86" s="57" t="n"/>
    </row>
    <row r="88" ht="26" customHeight="1">
      <c r="A88" s="8" t="inlineStr">
        <is>
          <t>NEW OPERATIONAL TABLES (Gap Closure v1.3)</t>
        </is>
      </c>
    </row>
    <row r="89">
      <c r="A89" s="5" t="inlineStr">
        <is>
          <t xml:space="preserve">  &gt;&gt; tbl_BallisticTrace</t>
        </is>
      </c>
      <c r="B89" s="6" t="inlineStr">
        <is>
          <t>Firearm Trace / IBIS — Ballistic matches across cases</t>
        </is>
      </c>
      <c r="C89" s="7" t="n"/>
      <c r="D89" s="7" t="n"/>
      <c r="E89" s="7" t="n"/>
      <c r="F89" s="7" t="n"/>
      <c r="G89" s="7" t="n"/>
      <c r="H89" s="7" t="n"/>
    </row>
    <row r="90">
      <c r="A90" s="5" t="inlineStr">
        <is>
          <t xml:space="preserve">  &gt;&gt; tbl_GangAffiliation</t>
        </is>
      </c>
      <c r="B90" s="6" t="inlineStr">
        <is>
          <t>Gang Intelligence — Affiliations, territory, associates</t>
        </is>
      </c>
      <c r="C90" s="7" t="n"/>
      <c r="D90" s="7" t="n"/>
      <c r="E90" s="7" t="n"/>
      <c r="F90" s="7" t="n"/>
      <c r="G90" s="7" t="n"/>
      <c r="H90" s="7" t="n"/>
    </row>
    <row r="91">
      <c r="A91" s="5" t="inlineStr">
        <is>
          <t xml:space="preserve">  &gt;&gt; tbl_Budget</t>
        </is>
      </c>
      <c r="B91" s="6" t="inlineStr">
        <is>
          <t>Budget &amp; Expenditure — Allocations, spending, variance tracking</t>
        </is>
      </c>
      <c r="C91" s="7" t="n"/>
      <c r="D91" s="7" t="n"/>
      <c r="E91" s="7" t="n"/>
      <c r="F91" s="7" t="n"/>
      <c r="G91" s="7" t="n"/>
      <c r="H91" s="7" t="n"/>
    </row>
    <row r="92">
      <c r="A92" s="5" t="inlineStr">
        <is>
          <t xml:space="preserve">  &gt;&gt; tbl_LeaveManagement</t>
        </is>
      </c>
      <c r="B92" s="6" t="inlineStr">
        <is>
          <t>Leave Register — Applications, approvals, balances</t>
        </is>
      </c>
      <c r="C92" s="7" t="n"/>
      <c r="D92" s="7" t="n"/>
      <c r="E92" s="7" t="n"/>
      <c r="F92" s="7" t="n"/>
      <c r="G92" s="7" t="n"/>
      <c r="H92" s="7" t="n"/>
    </row>
    <row r="93">
      <c r="A93" s="5" t="inlineStr">
        <is>
          <t xml:space="preserve">  &gt;&gt; tbl_Disciplinary</t>
        </is>
      </c>
      <c r="B93" s="6" t="inlineStr">
        <is>
          <t>Disciplinary Register — Allegations, hearings, sanctions</t>
        </is>
      </c>
      <c r="C93" s="7" t="n"/>
      <c r="D93" s="7" t="n"/>
      <c r="E93" s="7" t="n"/>
      <c r="F93" s="7" t="n"/>
      <c r="G93" s="7" t="n"/>
      <c r="H93" s="7" t="n"/>
    </row>
    <row r="94">
      <c r="A94" s="5" t="inlineStr">
        <is>
          <t xml:space="preserve">  &gt;&gt; tbl_Correspondence</t>
        </is>
      </c>
      <c r="B94" s="6" t="inlineStr">
        <is>
          <t>Correspondence Log — External communications tracking</t>
        </is>
      </c>
      <c r="C94" s="7" t="n"/>
      <c r="D94" s="7" t="n"/>
      <c r="E94" s="7" t="n"/>
      <c r="F94" s="7" t="n"/>
      <c r="G94" s="7" t="n"/>
      <c r="H94" s="7" t="n"/>
    </row>
    <row r="95">
      <c r="A95" s="5" t="inlineStr">
        <is>
          <t xml:space="preserve">  &gt;&gt; tbl_RiskRegister</t>
        </is>
      </c>
      <c r="B95" s="6" t="inlineStr">
        <is>
          <t>Organizational Risk Register — Likelihood, impact, mitigation</t>
        </is>
      </c>
      <c r="C95" s="7" t="n"/>
      <c r="D95" s="7" t="n"/>
      <c r="E95" s="7" t="n"/>
      <c r="F95" s="7" t="n"/>
      <c r="G95" s="7" t="n"/>
      <c r="H95" s="7" t="n"/>
    </row>
    <row r="96">
      <c r="A96" s="5" t="inlineStr">
        <is>
          <t xml:space="preserve">  &gt;&gt; tbl_AfterActionReport</t>
        </is>
      </c>
      <c r="B96" s="6" t="inlineStr">
        <is>
          <t>After-Action Reports — Ops lessons learned &amp; recommendations</t>
        </is>
      </c>
      <c r="C96" s="7" t="n"/>
      <c r="D96" s="7" t="n"/>
      <c r="E96" s="7" t="n"/>
      <c r="F96" s="7" t="n"/>
      <c r="G96" s="7" t="n"/>
      <c r="H96" s="7" t="n"/>
    </row>
    <row r="97">
      <c r="A97" s="5" t="inlineStr">
        <is>
          <t xml:space="preserve">  &gt;&gt; tbl_Notifications</t>
        </is>
      </c>
      <c r="B97" s="6" t="inlineStr">
        <is>
          <t>Notification / Alert Log — Triggered alerts and resolutions</t>
        </is>
      </c>
      <c r="C97" s="7" t="n"/>
      <c r="D97" s="7" t="n"/>
      <c r="E97" s="7" t="n"/>
      <c r="F97" s="7" t="n"/>
      <c r="G97" s="7" t="n"/>
      <c r="H97" s="7" t="n"/>
    </row>
    <row r="99" ht="26" customHeight="1">
      <c r="A99" s="4" t="inlineStr">
        <is>
          <t>SUPPORT SHEETS (v1.3)</t>
        </is>
      </c>
    </row>
    <row r="100">
      <c r="A100" s="5" t="inlineStr">
        <is>
          <t xml:space="preserve">  &gt;&gt; Instructions</t>
        </is>
      </c>
      <c r="B100" s="6" t="inlineStr">
        <is>
          <t>Workbook User Guide — How to use every module</t>
        </is>
      </c>
      <c r="C100" s="7" t="n"/>
      <c r="D100" s="7" t="n"/>
      <c r="E100" s="7" t="n"/>
      <c r="F100" s="7" t="n"/>
      <c r="G100" s="7" t="n"/>
      <c r="H100" s="7" t="n"/>
    </row>
    <row r="101">
      <c r="A101" s="5" t="inlineStr">
        <is>
          <t xml:space="preserve">  &gt;&gt; ChangeLog</t>
        </is>
      </c>
      <c r="B101" s="6" t="inlineStr">
        <is>
          <t>Version History — All changes tracked</t>
        </is>
      </c>
      <c r="C101" s="7" t="n"/>
      <c r="D101" s="7" t="n"/>
      <c r="E101" s="7" t="n"/>
      <c r="F101" s="7" t="n"/>
      <c r="G101" s="7" t="n"/>
      <c r="H101" s="7" t="n"/>
    </row>
    <row r="102">
      <c r="A102" s="5" t="inlineStr">
        <is>
          <t xml:space="preserve">  &gt;&gt; Form_QuarterlyReport</t>
        </is>
      </c>
      <c r="B102" s="6" t="inlineStr">
        <is>
          <t>Quarterly Operational Report Template (Printable)</t>
        </is>
      </c>
      <c r="C102" s="7" t="n"/>
      <c r="D102" s="7" t="n"/>
      <c r="E102" s="7" t="n"/>
      <c r="F102" s="7" t="n"/>
      <c r="G102" s="7" t="n"/>
      <c r="H102" s="7" t="n"/>
    </row>
  </sheetData>
  <mergeCells count="92">
    <mergeCell ref="B40:H40"/>
    <mergeCell ref="B55:H55"/>
    <mergeCell ref="B24:H24"/>
    <mergeCell ref="B64:H64"/>
    <mergeCell ref="B95:H95"/>
    <mergeCell ref="B33:H33"/>
    <mergeCell ref="B51:H51"/>
    <mergeCell ref="B32:H32"/>
    <mergeCell ref="B26:H26"/>
    <mergeCell ref="B41:H41"/>
    <mergeCell ref="B97:H97"/>
    <mergeCell ref="B35:H35"/>
    <mergeCell ref="B25:H25"/>
    <mergeCell ref="A75:H75"/>
    <mergeCell ref="B90:H90"/>
    <mergeCell ref="A50:H50"/>
    <mergeCell ref="B66:H66"/>
    <mergeCell ref="A3:H3"/>
    <mergeCell ref="B18:H18"/>
    <mergeCell ref="B27:H27"/>
    <mergeCell ref="B58:H58"/>
    <mergeCell ref="B52:H52"/>
    <mergeCell ref="A5:H5"/>
    <mergeCell ref="B11:H11"/>
    <mergeCell ref="B42:H42"/>
    <mergeCell ref="A29:H29"/>
    <mergeCell ref="B44:H44"/>
    <mergeCell ref="B53:H53"/>
    <mergeCell ref="B37:H37"/>
    <mergeCell ref="B84:H84"/>
    <mergeCell ref="B6:H6"/>
    <mergeCell ref="B80:H80"/>
    <mergeCell ref="B89:H89"/>
    <mergeCell ref="B79:H79"/>
    <mergeCell ref="A16:H16"/>
    <mergeCell ref="A99:H99"/>
    <mergeCell ref="B54:H54"/>
    <mergeCell ref="B7:H7"/>
    <mergeCell ref="B72:H72"/>
    <mergeCell ref="B81:H81"/>
    <mergeCell ref="B56:H56"/>
    <mergeCell ref="B71:H71"/>
    <mergeCell ref="B96:H96"/>
    <mergeCell ref="A2:H2"/>
    <mergeCell ref="B43:H43"/>
    <mergeCell ref="B8:H8"/>
    <mergeCell ref="B17:H17"/>
    <mergeCell ref="B57:H57"/>
    <mergeCell ref="B82:H82"/>
    <mergeCell ref="B10:H10"/>
    <mergeCell ref="B19:H19"/>
    <mergeCell ref="B34:H34"/>
    <mergeCell ref="B9:H9"/>
    <mergeCell ref="B68:H68"/>
    <mergeCell ref="B83:H83"/>
    <mergeCell ref="B92:H92"/>
    <mergeCell ref="B30:H30"/>
    <mergeCell ref="B20:H20"/>
    <mergeCell ref="A61:H61"/>
    <mergeCell ref="B76:H76"/>
    <mergeCell ref="B45:H45"/>
    <mergeCell ref="A88:H88"/>
    <mergeCell ref="B85:H85"/>
    <mergeCell ref="B94:H94"/>
    <mergeCell ref="B47:H47"/>
    <mergeCell ref="B31:H31"/>
    <mergeCell ref="B46:H46"/>
    <mergeCell ref="B21:H21"/>
    <mergeCell ref="B39:H39"/>
    <mergeCell ref="B70:H70"/>
    <mergeCell ref="B48:H48"/>
    <mergeCell ref="B23:H23"/>
    <mergeCell ref="B13:H13"/>
    <mergeCell ref="A63:H63"/>
    <mergeCell ref="B73:H73"/>
    <mergeCell ref="B65:H65"/>
    <mergeCell ref="A1:H1"/>
    <mergeCell ref="B36:H36"/>
    <mergeCell ref="B91:H91"/>
    <mergeCell ref="B100:H100"/>
    <mergeCell ref="B22:H22"/>
    <mergeCell ref="B93:H93"/>
    <mergeCell ref="B102:H102"/>
    <mergeCell ref="B12:H12"/>
    <mergeCell ref="B77:H77"/>
    <mergeCell ref="B86:H86"/>
    <mergeCell ref="B67:H67"/>
    <mergeCell ref="B101:H101"/>
    <mergeCell ref="B14:H14"/>
    <mergeCell ref="B69:H69"/>
    <mergeCell ref="B38:H38"/>
    <mergeCell ref="B78:H7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AY2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  <col width="22" customWidth="1" min="23" max="23"/>
    <col width="22" customWidth="1" min="24" max="24"/>
    <col width="22" customWidth="1" min="25" max="25"/>
    <col width="22" customWidth="1" min="26" max="26"/>
    <col width="22" customWidth="1" min="27" max="27"/>
    <col width="22" customWidth="1" min="28" max="28"/>
    <col width="22" customWidth="1" min="29" max="29"/>
    <col width="22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  <col width="22" customWidth="1" min="43" max="43"/>
    <col width="22" customWidth="1" min="44" max="44"/>
    <col width="22" customWidth="1" min="45" max="45"/>
    <col width="22" customWidth="1" min="46" max="46"/>
    <col width="22" customWidth="1" min="47" max="47"/>
    <col width="22" customWidth="1" min="48" max="48"/>
    <col width="22" customWidth="1" min="49" max="49"/>
    <col width="22" customWidth="1" min="50" max="50"/>
    <col width="22" customWidth="1" min="51" max="51"/>
  </cols>
  <sheetData>
    <row r="1">
      <c r="A1" s="12" t="inlineStr">
        <is>
          <t>CaseStatus</t>
        </is>
      </c>
      <c r="B1" s="12" t="inlineStr">
        <is>
          <t>Priority</t>
        </is>
      </c>
      <c r="C1" s="12" t="inlineStr">
        <is>
          <t>OffenceType</t>
        </is>
      </c>
      <c r="D1" s="12" t="inlineStr">
        <is>
          <t>Parish</t>
        </is>
      </c>
      <c r="E1" s="12" t="inlineStr">
        <is>
          <t>Unit</t>
        </is>
      </c>
      <c r="F1" s="12" t="inlineStr">
        <is>
          <t>LeadSource</t>
        </is>
      </c>
      <c r="G1" s="12" t="inlineStr">
        <is>
          <t>TriageDecision</t>
        </is>
      </c>
      <c r="H1" s="12" t="inlineStr">
        <is>
          <t>OpsType</t>
        </is>
      </c>
      <c r="I1" s="12" t="inlineStr">
        <is>
          <t>YesNo</t>
        </is>
      </c>
      <c r="J1" s="12" t="inlineStr">
        <is>
          <t>Credibility</t>
        </is>
      </c>
      <c r="K1" s="12" t="inlineStr">
        <is>
          <t>EvidenceType</t>
        </is>
      </c>
      <c r="L1" s="12" t="inlineStr">
        <is>
          <t>ForensicAgency</t>
        </is>
      </c>
      <c r="M1" s="12" t="inlineStr">
        <is>
          <t>AnalysisStatus</t>
        </is>
      </c>
      <c r="N1" s="12" t="inlineStr">
        <is>
          <t>CourtReadiness</t>
        </is>
      </c>
      <c r="O1" s="12" t="inlineStr">
        <is>
          <t>VehicleStatus</t>
        </is>
      </c>
      <c r="P1" s="12" t="inlineStr">
        <is>
          <t>TrafficLight</t>
        </is>
      </c>
      <c r="Q1" s="12" t="inlineStr">
        <is>
          <t>Rank</t>
        </is>
      </c>
      <c r="R1" s="12" t="inlineStr">
        <is>
          <t>Frequency</t>
        </is>
      </c>
      <c r="S1" s="12" t="inlineStr">
        <is>
          <t>LeadOutcome</t>
        </is>
      </c>
      <c r="T1" s="12" t="inlineStr">
        <is>
          <t>ComplianceStatus</t>
        </is>
      </c>
      <c r="U1" s="12" t="inlineStr">
        <is>
          <t>ActionStatus</t>
        </is>
      </c>
      <c r="V1" s="12" t="inlineStr">
        <is>
          <t>ActionType</t>
        </is>
      </c>
      <c r="W1" s="12" t="inlineStr">
        <is>
          <t>ReviewType</t>
        </is>
      </c>
      <c r="X1" s="12" t="inlineStr">
        <is>
          <t>HearingType</t>
        </is>
      </c>
      <c r="Y1" s="12" t="inlineStr">
        <is>
          <t>ShiftType</t>
        </is>
      </c>
      <c r="Z1" s="12" t="inlineStr">
        <is>
          <t>WarrantType</t>
        </is>
      </c>
      <c r="AA1" s="12" t="inlineStr">
        <is>
          <t>WarrantStatus</t>
        </is>
      </c>
      <c r="AB1" s="12" t="inlineStr">
        <is>
          <t>BailStatus</t>
        </is>
      </c>
      <c r="AC1" s="12" t="inlineStr">
        <is>
          <t>PersonnelStatus</t>
        </is>
      </c>
      <c r="AD1" s="12" t="inlineStr">
        <is>
          <t>SceneType</t>
        </is>
      </c>
      <c r="AE1" s="12" t="inlineStr">
        <is>
          <t>WitnessType</t>
        </is>
      </c>
      <c r="AF1" s="12" t="inlineStr">
        <is>
          <t>StatementType</t>
        </is>
      </c>
      <c r="AG1" s="12" t="inlineStr">
        <is>
          <t>AssignmentType</t>
        </is>
      </c>
      <c r="AH1" s="12" t="inlineStr">
        <is>
          <t>ContactMethod</t>
        </is>
      </c>
      <c r="AI1" s="12" t="inlineStr">
        <is>
          <t>PlanStatus</t>
        </is>
      </c>
      <c r="AJ1" s="12" t="inlineStr">
        <is>
          <t>FileStatus</t>
        </is>
      </c>
      <c r="AK1" s="12" t="inlineStr">
        <is>
          <t>ConferenceType</t>
        </is>
      </c>
      <c r="AL1" s="12" t="inlineStr">
        <is>
          <t>DirectiveStatus</t>
        </is>
      </c>
      <c r="AM1" s="12" t="inlineStr">
        <is>
          <t>DisclosureMaterial</t>
        </is>
      </c>
      <c r="AN1" s="12" t="inlineStr">
        <is>
          <t>ReviewInterval</t>
        </is>
      </c>
      <c r="AO1" s="12" t="inlineStr">
        <is>
          <t>MandatoryReview</t>
        </is>
      </c>
      <c r="AP1" s="12" t="inlineStr">
        <is>
          <t>DisposalType</t>
        </is>
      </c>
      <c r="AQ1" s="12" t="inlineStr">
        <is>
          <t>LeaveType</t>
        </is>
      </c>
      <c r="AR1" s="12" t="inlineStr">
        <is>
          <t>LeaveStatus</t>
        </is>
      </c>
      <c r="AS1" s="12" t="inlineStr">
        <is>
          <t>RiskCategory</t>
        </is>
      </c>
      <c r="AT1" s="12" t="inlineStr">
        <is>
          <t>Direction</t>
        </is>
      </c>
      <c r="AU1" s="12" t="inlineStr">
        <is>
          <t>CorrespondenceStatus</t>
        </is>
      </c>
      <c r="AV1" s="12" t="inlineStr">
        <is>
          <t>AllegationType</t>
        </is>
      </c>
      <c r="AW1" s="12" t="inlineStr">
        <is>
          <t>DisciplinaryStatus</t>
        </is>
      </c>
      <c r="AX1" s="12" t="inlineStr">
        <is>
          <t>AlertSeverity</t>
        </is>
      </c>
      <c r="AY1" s="12" t="inlineStr">
        <is>
          <t>BudgetCategory</t>
        </is>
      </c>
    </row>
    <row r="2">
      <c r="A2" t="inlineStr">
        <is>
          <t>Open</t>
        </is>
      </c>
      <c r="B2" t="inlineStr">
        <is>
          <t>Critical</t>
        </is>
      </c>
      <c r="C2" t="inlineStr">
        <is>
          <t>Illegal Possession of Firearm</t>
        </is>
      </c>
      <c r="D2" t="inlineStr">
        <is>
          <t>Kingston</t>
        </is>
      </c>
      <c r="E2" t="inlineStr">
        <is>
          <t>Registry</t>
        </is>
      </c>
      <c r="F2" t="inlineStr">
        <is>
          <t>MCR</t>
        </is>
      </c>
      <c r="G2" t="inlineStr">
        <is>
          <t>Action Immediately</t>
        </is>
      </c>
      <c r="H2" t="inlineStr">
        <is>
          <t>Search Warrant</t>
        </is>
      </c>
      <c r="I2" t="inlineStr">
        <is>
          <t>Yes</t>
        </is>
      </c>
      <c r="J2" t="inlineStr">
        <is>
          <t>A - Reliable</t>
        </is>
      </c>
      <c r="K2" t="inlineStr">
        <is>
          <t>Firearm</t>
        </is>
      </c>
      <c r="L2" t="inlineStr">
        <is>
          <t>Government Forensic Lab</t>
        </is>
      </c>
      <c r="M2" t="inlineStr">
        <is>
          <t>Pending</t>
        </is>
      </c>
      <c r="N2" t="inlineStr">
        <is>
          <t>Ready</t>
        </is>
      </c>
      <c r="O2" t="inlineStr">
        <is>
          <t>Available</t>
        </is>
      </c>
      <c r="P2" t="inlineStr">
        <is>
          <t>On Track</t>
        </is>
      </c>
      <c r="Q2" t="inlineStr">
        <is>
          <t>Constable</t>
        </is>
      </c>
      <c r="R2" t="inlineStr">
        <is>
          <t>Daily</t>
        </is>
      </c>
      <c r="S2" t="inlineStr">
        <is>
          <t>Converted to Case</t>
        </is>
      </c>
      <c r="T2" t="inlineStr">
        <is>
          <t>Compliant</t>
        </is>
      </c>
      <c r="U2" t="inlineStr">
        <is>
          <t>Pending</t>
        </is>
      </c>
      <c r="V2" t="inlineStr">
        <is>
          <t>Interview Witness</t>
        </is>
      </c>
      <c r="W2" t="inlineStr">
        <is>
          <t>Supervisory Review</t>
        </is>
      </c>
      <c r="X2" t="inlineStr">
        <is>
          <t>Mention</t>
        </is>
      </c>
      <c r="Y2" t="inlineStr">
        <is>
          <t>Day Shift</t>
        </is>
      </c>
      <c r="Z2" t="inlineStr">
        <is>
          <t>Search Warrant</t>
        </is>
      </c>
      <c r="AA2" t="inlineStr">
        <is>
          <t>Applied</t>
        </is>
      </c>
      <c r="AB2" t="inlineStr">
        <is>
          <t>Granted</t>
        </is>
      </c>
      <c r="AC2" t="inlineStr">
        <is>
          <t>Active</t>
        </is>
      </c>
      <c r="AD2" t="inlineStr">
        <is>
          <t>Shooting Scene</t>
        </is>
      </c>
      <c r="AE2" t="inlineStr">
        <is>
          <t>Eye Witness</t>
        </is>
      </c>
      <c r="AF2" t="inlineStr">
        <is>
          <t>Witness Statement</t>
        </is>
      </c>
      <c r="AG2" t="inlineStr">
        <is>
          <t>Initial Assignment</t>
        </is>
      </c>
      <c r="AH2" t="inlineStr">
        <is>
          <t>Phone Call</t>
        </is>
      </c>
      <c r="AI2" t="inlineStr">
        <is>
          <t>Draft</t>
        </is>
      </c>
      <c r="AJ2" t="inlineStr">
        <is>
          <t>Complete</t>
        </is>
      </c>
      <c r="AK2" t="inlineStr">
        <is>
          <t>Initial Case Conference</t>
        </is>
      </c>
      <c r="AL2" t="inlineStr">
        <is>
          <t>Issued</t>
        </is>
      </c>
      <c r="AM2" t="inlineStr">
        <is>
          <t>Witness Statement</t>
        </is>
      </c>
      <c r="AN2" t="inlineStr">
        <is>
          <t>7-Day</t>
        </is>
      </c>
      <c r="AO2" t="inlineStr">
        <is>
          <t>14-Day Initial Review</t>
        </is>
      </c>
      <c r="AP2" t="inlineStr">
        <is>
          <t>Convicted — Sentenced</t>
        </is>
      </c>
      <c r="AQ2" t="inlineStr">
        <is>
          <t>Annual Leave</t>
        </is>
      </c>
      <c r="AR2" t="inlineStr">
        <is>
          <t>Pending</t>
        </is>
      </c>
      <c r="AS2" t="inlineStr">
        <is>
          <t>Operational</t>
        </is>
      </c>
      <c r="AT2" t="inlineStr">
        <is>
          <t>Incoming</t>
        </is>
      </c>
      <c r="AU2" t="inlineStr">
        <is>
          <t>Pending</t>
        </is>
      </c>
      <c r="AV2" t="inlineStr">
        <is>
          <t>Misconduct</t>
        </is>
      </c>
      <c r="AW2" t="inlineStr">
        <is>
          <t>Pending</t>
        </is>
      </c>
      <c r="AX2" t="inlineStr">
        <is>
          <t>Critical</t>
        </is>
      </c>
      <c r="AY2" t="inlineStr">
        <is>
          <t>Operations</t>
        </is>
      </c>
    </row>
    <row r="3">
      <c r="A3" t="inlineStr">
        <is>
          <t>Active</t>
        </is>
      </c>
      <c r="B3" t="inlineStr">
        <is>
          <t>High</t>
        </is>
      </c>
      <c r="C3" t="inlineStr">
        <is>
          <t>Illegal Possession of Ammunition</t>
        </is>
      </c>
      <c r="D3" t="inlineStr">
        <is>
          <t>St. Andrew</t>
        </is>
      </c>
      <c r="E3" t="inlineStr">
        <is>
          <t>Investigations</t>
        </is>
      </c>
      <c r="F3" t="inlineStr">
        <is>
          <t>Operations</t>
        </is>
      </c>
      <c r="G3" t="inlineStr">
        <is>
          <t>Investigate</t>
        </is>
      </c>
      <c r="H3" t="inlineStr">
        <is>
          <t>Patrol</t>
        </is>
      </c>
      <c r="I3" t="inlineStr">
        <is>
          <t>No</t>
        </is>
      </c>
      <c r="J3" t="inlineStr">
        <is>
          <t>B - Usually Reliable</t>
        </is>
      </c>
      <c r="K3" t="inlineStr">
        <is>
          <t>Ammunition</t>
        </is>
      </c>
      <c r="L3" t="inlineStr">
        <is>
          <t>Ballistics Unit</t>
        </is>
      </c>
      <c r="M3" t="inlineStr">
        <is>
          <t>Submitted</t>
        </is>
      </c>
      <c r="N3" t="inlineStr">
        <is>
          <t>Not Ready</t>
        </is>
      </c>
      <c r="O3" t="inlineStr">
        <is>
          <t>In Use</t>
        </is>
      </c>
      <c r="P3" t="inlineStr">
        <is>
          <t>At Risk</t>
        </is>
      </c>
      <c r="Q3" t="inlineStr">
        <is>
          <t>Corporal</t>
        </is>
      </c>
      <c r="R3" t="inlineStr">
        <is>
          <t>Weekly</t>
        </is>
      </c>
      <c r="S3" t="inlineStr">
        <is>
          <t>Converted to Op</t>
        </is>
      </c>
      <c r="T3" t="inlineStr">
        <is>
          <t>Non-Compliant</t>
        </is>
      </c>
      <c r="U3" t="inlineStr">
        <is>
          <t>In Progress</t>
        </is>
      </c>
      <c r="V3" t="inlineStr">
        <is>
          <t>Interview Suspect</t>
        </is>
      </c>
      <c r="W3" t="inlineStr">
        <is>
          <t>Peer Review</t>
        </is>
      </c>
      <c r="X3" t="inlineStr">
        <is>
          <t>Preliminary Inquiry</t>
        </is>
      </c>
      <c r="Y3" t="inlineStr">
        <is>
          <t>Night Shift</t>
        </is>
      </c>
      <c r="Z3" t="inlineStr">
        <is>
          <t>Arrest Warrant</t>
        </is>
      </c>
      <c r="AA3" t="inlineStr">
        <is>
          <t>Issued</t>
        </is>
      </c>
      <c r="AB3" t="inlineStr">
        <is>
          <t>Denied</t>
        </is>
      </c>
      <c r="AC3" t="inlineStr">
        <is>
          <t>On Leave</t>
        </is>
      </c>
      <c r="AD3" t="inlineStr">
        <is>
          <t>Drug Lab</t>
        </is>
      </c>
      <c r="AE3" t="inlineStr">
        <is>
          <t>Character Witness</t>
        </is>
      </c>
      <c r="AF3" t="inlineStr">
        <is>
          <t>Cautioned Statement</t>
        </is>
      </c>
      <c r="AG3" t="inlineStr">
        <is>
          <t>Reassignment</t>
        </is>
      </c>
      <c r="AH3" t="inlineStr">
        <is>
          <t>In Person</t>
        </is>
      </c>
      <c r="AI3" t="inlineStr">
        <is>
          <t>Active</t>
        </is>
      </c>
      <c r="AJ3" t="inlineStr">
        <is>
          <t>Substantially Complete</t>
        </is>
      </c>
      <c r="AK3" t="inlineStr">
        <is>
          <t>Progress Review</t>
        </is>
      </c>
      <c r="AL3" t="inlineStr">
        <is>
          <t>In Progress</t>
        </is>
      </c>
      <c r="AM3" t="inlineStr">
        <is>
          <t>Expert Report</t>
        </is>
      </c>
      <c r="AN3" t="inlineStr">
        <is>
          <t>14-Day</t>
        </is>
      </c>
      <c r="AO3" t="inlineStr">
        <is>
          <t>28-Day Progress Review</t>
        </is>
      </c>
      <c r="AP3" t="inlineStr">
        <is>
          <t>Convicted — Fine</t>
        </is>
      </c>
      <c r="AQ3" t="inlineStr">
        <is>
          <t>Sick Leave</t>
        </is>
      </c>
      <c r="AR3" t="inlineStr">
        <is>
          <t>Approved</t>
        </is>
      </c>
      <c r="AS3" t="inlineStr">
        <is>
          <t>Strategic</t>
        </is>
      </c>
      <c r="AT3" t="inlineStr">
        <is>
          <t>Outgoing</t>
        </is>
      </c>
      <c r="AU3" t="inlineStr">
        <is>
          <t>Sent</t>
        </is>
      </c>
      <c r="AV3" t="inlineStr">
        <is>
          <t>Neglect of Duty</t>
        </is>
      </c>
      <c r="AW3" t="inlineStr">
        <is>
          <t>Under Investigation</t>
        </is>
      </c>
      <c r="AX3" t="inlineStr">
        <is>
          <t>High</t>
        </is>
      </c>
      <c r="AY3" t="inlineStr">
        <is>
          <t>Transport/Fuel</t>
        </is>
      </c>
    </row>
    <row r="4">
      <c r="A4" t="inlineStr">
        <is>
          <t>Under Investigation</t>
        </is>
      </c>
      <c r="B4" t="inlineStr">
        <is>
          <t>Medium</t>
        </is>
      </c>
      <c r="C4" t="inlineStr">
        <is>
          <t>Shooting with Intent</t>
        </is>
      </c>
      <c r="D4" t="inlineStr">
        <is>
          <t>St. Catherine</t>
        </is>
      </c>
      <c r="E4" t="inlineStr">
        <is>
          <t>Operations</t>
        </is>
      </c>
      <c r="F4" t="inlineStr">
        <is>
          <t>Tip-off</t>
        </is>
      </c>
      <c r="G4" t="inlineStr">
        <is>
          <t>Monitor</t>
        </is>
      </c>
      <c r="H4" t="inlineStr">
        <is>
          <t>Checkpoint</t>
        </is>
      </c>
      <c r="J4" t="inlineStr">
        <is>
          <t>C - Fairly Reliable</t>
        </is>
      </c>
      <c r="K4" t="inlineStr">
        <is>
          <t>Narcotics - Cannabis</t>
        </is>
      </c>
      <c r="L4" t="inlineStr">
        <is>
          <t>Fingerprint Bureau</t>
        </is>
      </c>
      <c r="M4" t="inlineStr">
        <is>
          <t>In Progress</t>
        </is>
      </c>
      <c r="N4" t="inlineStr">
        <is>
          <t>Partial</t>
        </is>
      </c>
      <c r="O4" t="inlineStr">
        <is>
          <t>Under Maintenance</t>
        </is>
      </c>
      <c r="P4" t="inlineStr">
        <is>
          <t>Off Track</t>
        </is>
      </c>
      <c r="Q4" t="inlineStr">
        <is>
          <t>Sergeant</t>
        </is>
      </c>
      <c r="R4" t="inlineStr">
        <is>
          <t>Monthly</t>
        </is>
      </c>
      <c r="S4" t="inlineStr">
        <is>
          <t>Intel Filed</t>
        </is>
      </c>
      <c r="T4" t="inlineStr">
        <is>
          <t>Under Review</t>
        </is>
      </c>
      <c r="U4" t="inlineStr">
        <is>
          <t>Completed</t>
        </is>
      </c>
      <c r="V4" t="inlineStr">
        <is>
          <t>Collect Evidence</t>
        </is>
      </c>
      <c r="W4" t="inlineStr">
        <is>
          <t>Compliance Audit</t>
        </is>
      </c>
      <c r="X4" t="inlineStr">
        <is>
          <t>Trial</t>
        </is>
      </c>
      <c r="Y4" t="inlineStr">
        <is>
          <t>Evening Shift</t>
        </is>
      </c>
      <c r="Z4" t="inlineStr">
        <is>
          <t>Bench Warrant</t>
        </is>
      </c>
      <c r="AA4" t="inlineStr">
        <is>
          <t>Executed</t>
        </is>
      </c>
      <c r="AB4" t="inlineStr">
        <is>
          <t>Not Applied</t>
        </is>
      </c>
      <c r="AC4" t="inlineStr">
        <is>
          <t>Seconded</t>
        </is>
      </c>
      <c r="AD4" t="inlineStr">
        <is>
          <t>Stash House</t>
        </is>
      </c>
      <c r="AE4" t="inlineStr">
        <is>
          <t>Expert Witness</t>
        </is>
      </c>
      <c r="AF4" t="inlineStr">
        <is>
          <t>Voluntary Statement</t>
        </is>
      </c>
      <c r="AG4" t="inlineStr">
        <is>
          <t>Temporary Cover</t>
        </is>
      </c>
      <c r="AH4" t="inlineStr">
        <is>
          <t>Email</t>
        </is>
      </c>
      <c r="AI4" t="inlineStr">
        <is>
          <t>Under Review</t>
        </is>
      </c>
      <c r="AJ4" t="inlineStr">
        <is>
          <t>Incomplete</t>
        </is>
      </c>
      <c r="AK4" t="inlineStr">
        <is>
          <t>Command Conference</t>
        </is>
      </c>
      <c r="AL4" t="inlineStr">
        <is>
          <t>Completed</t>
        </is>
      </c>
      <c r="AM4" t="inlineStr">
        <is>
          <t>Exhibit</t>
        </is>
      </c>
      <c r="AN4" t="inlineStr">
        <is>
          <t>28-Day</t>
        </is>
      </c>
      <c r="AO4" t="inlineStr">
        <is>
          <t>56-Day Supervisor Review</t>
        </is>
      </c>
      <c r="AP4" t="inlineStr">
        <is>
          <t>Acquitted</t>
        </is>
      </c>
      <c r="AQ4" t="inlineStr">
        <is>
          <t>Maternity Leave</t>
        </is>
      </c>
      <c r="AR4" t="inlineStr">
        <is>
          <t>Denied</t>
        </is>
      </c>
      <c r="AS4" t="inlineStr">
        <is>
          <t>Personnel</t>
        </is>
      </c>
      <c r="AU4" t="inlineStr">
        <is>
          <t>Received</t>
        </is>
      </c>
      <c r="AV4" t="inlineStr">
        <is>
          <t>Abuse of Authority</t>
        </is>
      </c>
      <c r="AW4" t="inlineStr">
        <is>
          <t>Hearing Scheduled</t>
        </is>
      </c>
      <c r="AX4" t="inlineStr">
        <is>
          <t>Medium</t>
        </is>
      </c>
      <c r="AY4" t="inlineStr">
        <is>
          <t>Training</t>
        </is>
      </c>
    </row>
    <row r="5">
      <c r="A5" t="inlineStr">
        <is>
          <t>Pending Review</t>
        </is>
      </c>
      <c r="B5" t="inlineStr">
        <is>
          <t>Low</t>
        </is>
      </c>
      <c r="C5" t="inlineStr">
        <is>
          <t>Murder (Firearm)</t>
        </is>
      </c>
      <c r="D5" t="inlineStr">
        <is>
          <t>Clarendon</t>
        </is>
      </c>
      <c r="E5" t="inlineStr">
        <is>
          <t>Intelligence</t>
        </is>
      </c>
      <c r="F5" t="inlineStr">
        <is>
          <t>Informant</t>
        </is>
      </c>
      <c r="G5" t="inlineStr">
        <is>
          <t>Archive</t>
        </is>
      </c>
      <c r="H5" t="inlineStr">
        <is>
          <t>Surveillance</t>
        </is>
      </c>
      <c r="J5" t="inlineStr">
        <is>
          <t>D - Not Usually Reliable</t>
        </is>
      </c>
      <c r="K5" t="inlineStr">
        <is>
          <t>Narcotics - Cocaine</t>
        </is>
      </c>
      <c r="L5" t="inlineStr">
        <is>
          <t>Cyber Forensics Unit</t>
        </is>
      </c>
      <c r="M5" t="inlineStr">
        <is>
          <t>Completed</t>
        </is>
      </c>
      <c r="N5" t="inlineStr">
        <is>
          <t>Under Review</t>
        </is>
      </c>
      <c r="O5" t="inlineStr">
        <is>
          <t>Out of Service</t>
        </is>
      </c>
      <c r="Q5" t="inlineStr">
        <is>
          <t>Inspector</t>
        </is>
      </c>
      <c r="R5" t="inlineStr">
        <is>
          <t>Quarterly</t>
        </is>
      </c>
      <c r="S5" t="inlineStr">
        <is>
          <t>Closed - No Action</t>
        </is>
      </c>
      <c r="T5" t="inlineStr">
        <is>
          <t>Overdue</t>
        </is>
      </c>
      <c r="U5" t="inlineStr">
        <is>
          <t>Cancelled</t>
        </is>
      </c>
      <c r="V5" t="inlineStr">
        <is>
          <t>Submit Exhibit</t>
        </is>
      </c>
      <c r="W5" t="inlineStr">
        <is>
          <t>Quality Check</t>
        </is>
      </c>
      <c r="X5" t="inlineStr">
        <is>
          <t>Sentencing</t>
        </is>
      </c>
      <c r="Y5" t="inlineStr">
        <is>
          <t>24-Hour Duty</t>
        </is>
      </c>
      <c r="Z5" t="inlineStr">
        <is>
          <t>Seizure Order</t>
        </is>
      </c>
      <c r="AA5" t="inlineStr">
        <is>
          <t>Returned to JP</t>
        </is>
      </c>
      <c r="AB5" t="inlineStr">
        <is>
          <t>Revoked</t>
        </is>
      </c>
      <c r="AC5" t="inlineStr">
        <is>
          <t>Suspended</t>
        </is>
      </c>
      <c r="AD5" t="inlineStr">
        <is>
          <t>Arrest Scene</t>
        </is>
      </c>
      <c r="AE5" t="inlineStr">
        <is>
          <t>Police Witness</t>
        </is>
      </c>
      <c r="AF5" t="inlineStr">
        <is>
          <t>Dying Declaration</t>
        </is>
      </c>
      <c r="AG5" t="inlineStr">
        <is>
          <t>Joint Assignment</t>
        </is>
      </c>
      <c r="AH5" t="inlineStr">
        <is>
          <t>WhatsApp</t>
        </is>
      </c>
      <c r="AI5" t="inlineStr">
        <is>
          <t>Revised</t>
        </is>
      </c>
      <c r="AJ5" t="inlineStr">
        <is>
          <t>Critically Incomplete</t>
        </is>
      </c>
      <c r="AK5" t="inlineStr">
        <is>
          <t>Pre-Trial Conference</t>
        </is>
      </c>
      <c r="AL5" t="inlineStr">
        <is>
          <t>Overdue</t>
        </is>
      </c>
      <c r="AM5" t="inlineStr">
        <is>
          <t>CCTV Footage</t>
        </is>
      </c>
      <c r="AN5" t="inlineStr">
        <is>
          <t>56-Day</t>
        </is>
      </c>
      <c r="AO5" t="inlineStr">
        <is>
          <t>90-Day Command Review</t>
        </is>
      </c>
      <c r="AP5" t="inlineStr">
        <is>
          <t>Discharged</t>
        </is>
      </c>
      <c r="AQ5" t="inlineStr">
        <is>
          <t>Paternity Leave</t>
        </is>
      </c>
      <c r="AR5" t="inlineStr">
        <is>
          <t>Cancelled</t>
        </is>
      </c>
      <c r="AS5" t="inlineStr">
        <is>
          <t>Financial</t>
        </is>
      </c>
      <c r="AU5" t="inlineStr">
        <is>
          <t>Responded</t>
        </is>
      </c>
      <c r="AV5" t="inlineStr">
        <is>
          <t>Corruption</t>
        </is>
      </c>
      <c r="AW5" t="inlineStr">
        <is>
          <t>Sanction Applied</t>
        </is>
      </c>
      <c r="AX5" t="inlineStr">
        <is>
          <t>Low</t>
        </is>
      </c>
      <c r="AY5" t="inlineStr">
        <is>
          <t>Maintenance</t>
        </is>
      </c>
    </row>
    <row r="6">
      <c r="A6" t="inlineStr">
        <is>
          <t>Pending Court</t>
        </is>
      </c>
      <c r="C6" t="inlineStr">
        <is>
          <t>Robbery (Firearm)</t>
        </is>
      </c>
      <c r="D6" t="inlineStr">
        <is>
          <t>Manchester</t>
        </is>
      </c>
      <c r="E6" t="inlineStr">
        <is>
          <t>Transport</t>
        </is>
      </c>
      <c r="F6" t="inlineStr">
        <is>
          <t>Surveillance</t>
        </is>
      </c>
      <c r="G6" t="inlineStr">
        <is>
          <t>Forward to External Agency</t>
        </is>
      </c>
      <c r="H6" t="inlineStr">
        <is>
          <t>Raid</t>
        </is>
      </c>
      <c r="J6" t="inlineStr">
        <is>
          <t>E - Unreliable</t>
        </is>
      </c>
      <c r="K6" t="inlineStr">
        <is>
          <t>Narcotics - Other</t>
        </is>
      </c>
      <c r="L6" t="inlineStr">
        <is>
          <t>Chemistry Division</t>
        </is>
      </c>
      <c r="M6" t="inlineStr">
        <is>
          <t>Inconclusive</t>
        </is>
      </c>
      <c r="O6" t="inlineStr">
        <is>
          <t>Reserved</t>
        </is>
      </c>
      <c r="Q6" t="inlineStr">
        <is>
          <t>ASP</t>
        </is>
      </c>
      <c r="R6" t="inlineStr">
        <is>
          <t>Annually</t>
        </is>
      </c>
      <c r="S6" t="inlineStr">
        <is>
          <t>Pending</t>
        </is>
      </c>
      <c r="T6" t="inlineStr">
        <is>
          <t>N/A</t>
        </is>
      </c>
      <c r="U6" t="inlineStr">
        <is>
          <t>On Hold</t>
        </is>
      </c>
      <c r="V6" t="inlineStr">
        <is>
          <t>Conduct Search</t>
        </is>
      </c>
      <c r="W6" t="inlineStr">
        <is>
          <t>Command Review</t>
        </is>
      </c>
      <c r="X6" t="inlineStr">
        <is>
          <t>Bail Hearing</t>
        </is>
      </c>
      <c r="Y6" t="inlineStr">
        <is>
          <t>On Call</t>
        </is>
      </c>
      <c r="Z6" t="inlineStr">
        <is>
          <t>Surveillance Order</t>
        </is>
      </c>
      <c r="AA6" t="inlineStr">
        <is>
          <t>Expired</t>
        </is>
      </c>
      <c r="AB6" t="inlineStr">
        <is>
          <t>Surety Pending</t>
        </is>
      </c>
      <c r="AC6" t="inlineStr">
        <is>
          <t>Transferred</t>
        </is>
      </c>
      <c r="AD6" t="inlineStr">
        <is>
          <t>Vehicle Search</t>
        </is>
      </c>
      <c r="AE6" t="inlineStr">
        <is>
          <t>Forensic Witness</t>
        </is>
      </c>
      <c r="AF6" t="inlineStr">
        <is>
          <t>Expert Report</t>
        </is>
      </c>
      <c r="AG6" t="inlineStr">
        <is>
          <t>Handover - Transfer</t>
        </is>
      </c>
      <c r="AH6" t="inlineStr">
        <is>
          <t>Letter</t>
        </is>
      </c>
      <c r="AI6" t="inlineStr">
        <is>
          <t>Closed</t>
        </is>
      </c>
      <c r="AJ6" t="inlineStr">
        <is>
          <t>Under Review</t>
        </is>
      </c>
      <c r="AK6" t="inlineStr">
        <is>
          <t>Cold Case Review</t>
        </is>
      </c>
      <c r="AL6" t="inlineStr">
        <is>
          <t>Cancelled</t>
        </is>
      </c>
      <c r="AM6" t="inlineStr">
        <is>
          <t>Forensic Report</t>
        </is>
      </c>
      <c r="AN6" t="inlineStr">
        <is>
          <t>90-Day</t>
        </is>
      </c>
      <c r="AO6" t="inlineStr">
        <is>
          <t>Quarterly Quality Audit</t>
        </is>
      </c>
      <c r="AP6" t="inlineStr">
        <is>
          <t>Withdrawn by DPP</t>
        </is>
      </c>
      <c r="AQ6" t="inlineStr">
        <is>
          <t>Study Leave</t>
        </is>
      </c>
      <c r="AR6" t="inlineStr">
        <is>
          <t>In Progress</t>
        </is>
      </c>
      <c r="AS6" t="inlineStr">
        <is>
          <t>Legal</t>
        </is>
      </c>
      <c r="AU6" t="inlineStr">
        <is>
          <t>Filed</t>
        </is>
      </c>
      <c r="AV6" t="inlineStr">
        <is>
          <t>Excessive Force</t>
        </is>
      </c>
      <c r="AW6" t="inlineStr">
        <is>
          <t>Dismissed</t>
        </is>
      </c>
      <c r="AX6" t="inlineStr">
        <is>
          <t>Info</t>
        </is>
      </c>
      <c r="AY6" t="inlineStr">
        <is>
          <t>Equipment</t>
        </is>
      </c>
    </row>
    <row r="7">
      <c r="A7" t="inlineStr">
        <is>
          <t>Closed - Convicted</t>
        </is>
      </c>
      <c r="C7" t="inlineStr">
        <is>
          <t>Possession of Narcotics</t>
        </is>
      </c>
      <c r="D7" t="inlineStr">
        <is>
          <t>St. Elizabeth</t>
        </is>
      </c>
      <c r="E7" t="inlineStr">
        <is>
          <t>Demand Reduction</t>
        </is>
      </c>
      <c r="F7" t="inlineStr">
        <is>
          <t>Inter-Agency</t>
        </is>
      </c>
      <c r="H7" t="inlineStr">
        <is>
          <t>Arrest Operation</t>
        </is>
      </c>
      <c r="J7" t="inlineStr">
        <is>
          <t>F - Unknown</t>
        </is>
      </c>
      <c r="K7" t="inlineStr">
        <is>
          <t>Cash/Currency</t>
        </is>
      </c>
      <c r="L7" t="inlineStr">
        <is>
          <t>DNA Lab</t>
        </is>
      </c>
      <c r="M7" t="inlineStr">
        <is>
          <t>N/A</t>
        </is>
      </c>
      <c r="Q7" t="inlineStr">
        <is>
          <t>DSP</t>
        </is>
      </c>
      <c r="U7" t="inlineStr">
        <is>
          <t>Deferred</t>
        </is>
      </c>
      <c r="V7" t="inlineStr">
        <is>
          <t>Surveillance</t>
        </is>
      </c>
      <c r="W7" t="inlineStr">
        <is>
          <t>Monthly Review</t>
        </is>
      </c>
      <c r="X7" t="inlineStr">
        <is>
          <t>Appeal</t>
        </is>
      </c>
      <c r="Y7" t="inlineStr">
        <is>
          <t>Rest Day</t>
        </is>
      </c>
      <c r="AA7" t="inlineStr">
        <is>
          <t>Cancelled</t>
        </is>
      </c>
      <c r="AC7" t="inlineStr">
        <is>
          <t>Retired</t>
        </is>
      </c>
      <c r="AD7" t="inlineStr">
        <is>
          <t>Residential Search</t>
        </is>
      </c>
      <c r="AE7" t="inlineStr">
        <is>
          <t>Civilian Witness</t>
        </is>
      </c>
      <c r="AF7" t="inlineStr">
        <is>
          <t>Victim Impact Statement</t>
        </is>
      </c>
      <c r="AG7" t="inlineStr">
        <is>
          <t>Handover - Leave</t>
        </is>
      </c>
      <c r="AH7" t="inlineStr">
        <is>
          <t>Station Visit</t>
        </is>
      </c>
      <c r="AI7" t="inlineStr">
        <is>
          <t>Archived</t>
        </is>
      </c>
      <c r="AK7" t="inlineStr">
        <is>
          <t>Multi-Agency Conference</t>
        </is>
      </c>
      <c r="AM7" t="inlineStr">
        <is>
          <t>Interview Record</t>
        </is>
      </c>
      <c r="AN7" t="inlineStr">
        <is>
          <t>Monthly</t>
        </is>
      </c>
      <c r="AO7" t="inlineStr">
        <is>
          <t>Pre-Court Review</t>
        </is>
      </c>
      <c r="AP7" t="inlineStr">
        <is>
          <t>No Further Action</t>
        </is>
      </c>
      <c r="AQ7" t="inlineStr">
        <is>
          <t>Compassionate Leave</t>
        </is>
      </c>
      <c r="AR7" t="inlineStr">
        <is>
          <t>Completed</t>
        </is>
      </c>
      <c r="AS7" t="inlineStr">
        <is>
          <t>Reputational</t>
        </is>
      </c>
      <c r="AU7" t="inlineStr">
        <is>
          <t>Overdue</t>
        </is>
      </c>
      <c r="AV7" t="inlineStr">
        <is>
          <t>Unauthorized Absence</t>
        </is>
      </c>
      <c r="AW7" t="inlineStr">
        <is>
          <t>Appealed</t>
        </is>
      </c>
      <c r="AY7" t="inlineStr">
        <is>
          <t>Admin/Stationery</t>
        </is>
      </c>
    </row>
    <row r="8">
      <c r="A8" t="inlineStr">
        <is>
          <t>Closed - Acquitted</t>
        </is>
      </c>
      <c r="C8" t="inlineStr">
        <is>
          <t>Trafficking of Narcotics</t>
        </is>
      </c>
      <c r="D8" t="inlineStr">
        <is>
          <t>Westmoreland</t>
        </is>
      </c>
      <c r="E8" t="inlineStr">
        <is>
          <t>Admin/HRM</t>
        </is>
      </c>
      <c r="F8" t="inlineStr">
        <is>
          <t>Walk-in</t>
        </is>
      </c>
      <c r="H8" t="inlineStr">
        <is>
          <t>Seizure Operation</t>
        </is>
      </c>
      <c r="K8" t="inlineStr">
        <is>
          <t>Electronic Device</t>
        </is>
      </c>
      <c r="L8" t="inlineStr">
        <is>
          <t>External Lab</t>
        </is>
      </c>
      <c r="Q8" t="inlineStr">
        <is>
          <t>SSP</t>
        </is>
      </c>
      <c r="V8" t="inlineStr">
        <is>
          <t>Arrest</t>
        </is>
      </c>
      <c r="X8" t="inlineStr">
        <is>
          <t>Other</t>
        </is>
      </c>
      <c r="AC8" t="inlineStr">
        <is>
          <t>Deceased</t>
        </is>
      </c>
      <c r="AD8" t="inlineStr">
        <is>
          <t>Commercial Search</t>
        </is>
      </c>
      <c r="AE8" t="inlineStr">
        <is>
          <t>Complainant</t>
        </is>
      </c>
      <c r="AF8" t="inlineStr">
        <is>
          <t>Identification Statement</t>
        </is>
      </c>
      <c r="AG8" t="inlineStr">
        <is>
          <t>Handover - Promotion</t>
        </is>
      </c>
      <c r="AH8" t="inlineStr">
        <is>
          <t>Home Visit</t>
        </is>
      </c>
      <c r="AK8" t="inlineStr">
        <is>
          <t>Escalation Conference</t>
        </is>
      </c>
      <c r="AM8" t="inlineStr">
        <is>
          <t>Intelligence Report</t>
        </is>
      </c>
      <c r="AN8" t="inlineStr">
        <is>
          <t>Quarterly</t>
        </is>
      </c>
      <c r="AO8" t="inlineStr">
        <is>
          <t>Cold Case Review</t>
        </is>
      </c>
      <c r="AP8" t="inlineStr">
        <is>
          <t>Referred to Other Agency</t>
        </is>
      </c>
      <c r="AQ8" t="inlineStr">
        <is>
          <t>Special Leave</t>
        </is>
      </c>
      <c r="AS8" t="inlineStr">
        <is>
          <t>Technology</t>
        </is>
      </c>
      <c r="AV8" t="inlineStr">
        <is>
          <t>Insubordination</t>
        </is>
      </c>
      <c r="AW8" t="inlineStr">
        <is>
          <t>Closed</t>
        </is>
      </c>
      <c r="AY8" t="inlineStr">
        <is>
          <t>Communications</t>
        </is>
      </c>
    </row>
    <row r="9">
      <c r="A9" t="inlineStr">
        <is>
          <t>Closed - Withdrawn</t>
        </is>
      </c>
      <c r="C9" t="inlineStr">
        <is>
          <t>Cultivation of Narcotics</t>
        </is>
      </c>
      <c r="D9" t="inlineStr">
        <is>
          <t>Hanover</t>
        </is>
      </c>
      <c r="E9" t="inlineStr">
        <is>
          <t>Training</t>
        </is>
      </c>
      <c r="F9" t="inlineStr">
        <is>
          <t>Other</t>
        </is>
      </c>
      <c r="H9" t="inlineStr">
        <is>
          <t>Joint Operation</t>
        </is>
      </c>
      <c r="K9" t="inlineStr">
        <is>
          <t>Document</t>
        </is>
      </c>
      <c r="Q9" t="inlineStr">
        <is>
          <t>ACP</t>
        </is>
      </c>
      <c r="V9" t="inlineStr">
        <is>
          <t>Court Preparation</t>
        </is>
      </c>
      <c r="AD9" t="inlineStr">
        <is>
          <t>Open Area</t>
        </is>
      </c>
      <c r="AE9" t="inlineStr">
        <is>
          <t>Informant Witness</t>
        </is>
      </c>
      <c r="AF9" t="inlineStr">
        <is>
          <t>Alibi Statement</t>
        </is>
      </c>
      <c r="AG9" t="inlineStr">
        <is>
          <t>Escalation</t>
        </is>
      </c>
      <c r="AH9" t="inlineStr">
        <is>
          <t>Other</t>
        </is>
      </c>
      <c r="AM9" t="inlineStr">
        <is>
          <t>Medical Report</t>
        </is>
      </c>
      <c r="AO9" t="inlineStr">
        <is>
          <t>File Closure Review</t>
        </is>
      </c>
      <c r="AP9" t="inlineStr">
        <is>
          <t>Complainant Withdrew</t>
        </is>
      </c>
      <c r="AQ9" t="inlineStr">
        <is>
          <t>No-Pay Leave</t>
        </is>
      </c>
      <c r="AS9" t="inlineStr">
        <is>
          <t>Environmental</t>
        </is>
      </c>
      <c r="AV9" t="inlineStr">
        <is>
          <t>Loss of Evidence</t>
        </is>
      </c>
      <c r="AY9" t="inlineStr">
        <is>
          <t>Other</t>
        </is>
      </c>
    </row>
    <row r="10">
      <c r="A10" t="inlineStr">
        <is>
          <t>Closed - No Further Action</t>
        </is>
      </c>
      <c r="C10" t="inlineStr">
        <is>
          <t>Distribution of Narcotics</t>
        </is>
      </c>
      <c r="D10" t="inlineStr">
        <is>
          <t>St. James</t>
        </is>
      </c>
      <c r="E10" t="inlineStr">
        <is>
          <t>Oversight</t>
        </is>
      </c>
      <c r="H10" t="inlineStr">
        <is>
          <t>FCSI Operation</t>
        </is>
      </c>
      <c r="K10" t="inlineStr">
        <is>
          <t>Vehicle</t>
        </is>
      </c>
      <c r="Q10" t="inlineStr">
        <is>
          <t>DCP</t>
        </is>
      </c>
      <c r="V10" t="inlineStr">
        <is>
          <t>Lab Follow-Up</t>
        </is>
      </c>
      <c r="AD10" t="inlineStr">
        <is>
          <t>Other</t>
        </is>
      </c>
      <c r="AM10" t="inlineStr">
        <is>
          <t>Phone Records</t>
        </is>
      </c>
      <c r="AP10" t="inlineStr">
        <is>
          <t>Accused Deceased</t>
        </is>
      </c>
      <c r="AV10" t="inlineStr">
        <is>
          <t>Other</t>
        </is>
      </c>
    </row>
    <row r="11">
      <c r="A11" t="inlineStr">
        <is>
          <t>Cold Case</t>
        </is>
      </c>
      <c r="C11" t="inlineStr">
        <is>
          <t>Possession of Cocaine</t>
        </is>
      </c>
      <c r="D11" t="inlineStr">
        <is>
          <t>Trelawny</t>
        </is>
      </c>
      <c r="H11" t="inlineStr">
        <is>
          <t>Other</t>
        </is>
      </c>
      <c r="K11" t="inlineStr">
        <is>
          <t>Clothing</t>
        </is>
      </c>
      <c r="Q11" t="inlineStr">
        <is>
          <t>Commissioner</t>
        </is>
      </c>
      <c r="V11" t="inlineStr">
        <is>
          <t>Supervisory Review</t>
        </is>
      </c>
      <c r="AM11" t="inlineStr">
        <is>
          <t>Financial Records</t>
        </is>
      </c>
      <c r="AP11" t="inlineStr">
        <is>
          <t>Cold Case — Filed</t>
        </is>
      </c>
    </row>
    <row r="12">
      <c r="C12" t="inlineStr">
        <is>
          <t>Possession of Cannabis</t>
        </is>
      </c>
      <c r="D12" t="inlineStr">
        <is>
          <t>St. Ann</t>
        </is>
      </c>
      <c r="K12" t="inlineStr">
        <is>
          <t>Biological Sample</t>
        </is>
      </c>
      <c r="V12" t="inlineStr">
        <is>
          <t>Report Writing</t>
        </is>
      </c>
      <c r="AM12" t="inlineStr">
        <is>
          <t>Other Documentary</t>
        </is>
      </c>
    </row>
    <row r="13">
      <c r="C13" t="inlineStr">
        <is>
          <t>Possession of Other Drug</t>
        </is>
      </c>
      <c r="D13" t="inlineStr">
        <is>
          <t>St. Mary</t>
        </is>
      </c>
      <c r="K13" t="inlineStr">
        <is>
          <t>Fingerprint</t>
        </is>
      </c>
      <c r="V13" t="inlineStr">
        <is>
          <t>Other</t>
        </is>
      </c>
    </row>
    <row r="14">
      <c r="C14" t="inlineStr">
        <is>
          <t>Larceny of Firearm</t>
        </is>
      </c>
      <c r="D14" t="inlineStr">
        <is>
          <t>Portland</t>
        </is>
      </c>
      <c r="K14" t="inlineStr">
        <is>
          <t>CCTV Footage</t>
        </is>
      </c>
    </row>
    <row r="15">
      <c r="C15" t="inlineStr">
        <is>
          <t>Wounding (Firearm)</t>
        </is>
      </c>
      <c r="D15" t="inlineStr">
        <is>
          <t>St. Thomas</t>
        </is>
      </c>
      <c r="K15" t="inlineStr">
        <is>
          <t>Ballistic Evidence</t>
        </is>
      </c>
    </row>
    <row r="16">
      <c r="C16" t="inlineStr">
        <is>
          <t>Conspiracy - Firearms</t>
        </is>
      </c>
      <c r="K16" t="inlineStr">
        <is>
          <t>Other Physical Evidence</t>
        </is>
      </c>
    </row>
    <row r="17">
      <c r="C17" t="inlineStr">
        <is>
          <t>Conspiracy - Narcotics</t>
        </is>
      </c>
    </row>
    <row r="18">
      <c r="C18" t="inlineStr">
        <is>
          <t>Importation of Firearm</t>
        </is>
      </c>
    </row>
    <row r="19">
      <c r="C19" t="inlineStr">
        <is>
          <t>Importation of Narcotics</t>
        </is>
      </c>
    </row>
    <row r="20">
      <c r="C20" t="inlineStr">
        <is>
          <t>Other Firearms Offence</t>
        </is>
      </c>
    </row>
    <row r="21">
      <c r="C21" t="inlineStr">
        <is>
          <t>Other Narcotics Offence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4" customWidth="1" min="1" max="1"/>
    <col width="40" customWidth="1" min="2" max="2"/>
    <col width="20" customWidth="1" min="3" max="3"/>
    <col width="16" customWidth="1" min="4" max="4"/>
    <col width="18" customWidth="1" min="5" max="5"/>
  </cols>
  <sheetData>
    <row r="1">
      <c r="A1" s="13" t="inlineStr">
        <is>
          <t>OffenceCode</t>
        </is>
      </c>
      <c r="B1" s="13" t="inlineStr">
        <is>
          <t>OffenceDescription</t>
        </is>
      </c>
      <c r="C1" s="13" t="inlineStr">
        <is>
          <t>Category</t>
        </is>
      </c>
      <c r="D1" s="13" t="inlineStr">
        <is>
          <t>FNID_Relevant</t>
        </is>
      </c>
      <c r="E1" s="13" t="inlineStr">
        <is>
          <t>AutoRouteToFNID</t>
        </is>
      </c>
    </row>
    <row r="2">
      <c r="A2" s="14" t="inlineStr">
        <is>
          <t>FC-001</t>
        </is>
      </c>
      <c r="B2" s="14" t="inlineStr">
        <is>
          <t>Illegal Possession of Firearm</t>
        </is>
      </c>
      <c r="C2" s="14" t="inlineStr">
        <is>
          <t>Firearms</t>
        </is>
      </c>
      <c r="D2" s="14" t="inlineStr">
        <is>
          <t>Yes</t>
        </is>
      </c>
      <c r="E2" s="14" t="inlineStr">
        <is>
          <t>Yes</t>
        </is>
      </c>
    </row>
    <row r="3">
      <c r="A3" s="14" t="inlineStr">
        <is>
          <t>FC-002</t>
        </is>
      </c>
      <c r="B3" s="14" t="inlineStr">
        <is>
          <t>Illegal Possession of Ammunition</t>
        </is>
      </c>
      <c r="C3" s="14" t="inlineStr">
        <is>
          <t>Firearms</t>
        </is>
      </c>
      <c r="D3" s="14" t="inlineStr">
        <is>
          <t>Yes</t>
        </is>
      </c>
      <c r="E3" s="14" t="inlineStr">
        <is>
          <t>Yes</t>
        </is>
      </c>
    </row>
    <row r="4">
      <c r="A4" s="14" t="inlineStr">
        <is>
          <t>FC-003</t>
        </is>
      </c>
      <c r="B4" s="14" t="inlineStr">
        <is>
          <t>Shooting with Intent</t>
        </is>
      </c>
      <c r="C4" s="14" t="inlineStr">
        <is>
          <t>Firearms</t>
        </is>
      </c>
      <c r="D4" s="14" t="inlineStr">
        <is>
          <t>Yes</t>
        </is>
      </c>
      <c r="E4" s="14" t="inlineStr">
        <is>
          <t>Yes</t>
        </is>
      </c>
    </row>
    <row r="5">
      <c r="A5" s="14" t="inlineStr">
        <is>
          <t>FC-004</t>
        </is>
      </c>
      <c r="B5" s="14" t="inlineStr">
        <is>
          <t>Murder (Firearm-related)</t>
        </is>
      </c>
      <c r="C5" s="14" t="inlineStr">
        <is>
          <t>Firearms</t>
        </is>
      </c>
      <c r="D5" s="14" t="inlineStr">
        <is>
          <t>Yes</t>
        </is>
      </c>
      <c r="E5" s="14" t="inlineStr">
        <is>
          <t>Yes</t>
        </is>
      </c>
    </row>
    <row r="6">
      <c r="A6" s="14" t="inlineStr">
        <is>
          <t>FC-005</t>
        </is>
      </c>
      <c r="B6" s="14" t="inlineStr">
        <is>
          <t>Robbery with Firearm</t>
        </is>
      </c>
      <c r="C6" s="14" t="inlineStr">
        <is>
          <t>Firearms</t>
        </is>
      </c>
      <c r="D6" s="14" t="inlineStr">
        <is>
          <t>Yes</t>
        </is>
      </c>
      <c r="E6" s="14" t="inlineStr">
        <is>
          <t>Yes</t>
        </is>
      </c>
    </row>
    <row r="7">
      <c r="A7" s="14" t="inlineStr">
        <is>
          <t>FC-006</t>
        </is>
      </c>
      <c r="B7" s="14" t="inlineStr">
        <is>
          <t>Wounding with Firearm</t>
        </is>
      </c>
      <c r="C7" s="14" t="inlineStr">
        <is>
          <t>Firearms</t>
        </is>
      </c>
      <c r="D7" s="14" t="inlineStr">
        <is>
          <t>Yes</t>
        </is>
      </c>
      <c r="E7" s="14" t="inlineStr">
        <is>
          <t>Yes</t>
        </is>
      </c>
    </row>
    <row r="8">
      <c r="A8" s="14" t="inlineStr">
        <is>
          <t>FC-007</t>
        </is>
      </c>
      <c r="B8" s="14" t="inlineStr">
        <is>
          <t>Larceny of Firearm</t>
        </is>
      </c>
      <c r="C8" s="14" t="inlineStr">
        <is>
          <t>Firearms</t>
        </is>
      </c>
      <c r="D8" s="14" t="inlineStr">
        <is>
          <t>Yes</t>
        </is>
      </c>
      <c r="E8" s="14" t="inlineStr">
        <is>
          <t>Yes</t>
        </is>
      </c>
    </row>
    <row r="9">
      <c r="A9" s="14" t="inlineStr">
        <is>
          <t>FC-008</t>
        </is>
      </c>
      <c r="B9" s="14" t="inlineStr">
        <is>
          <t>Conspiracy - Firearms</t>
        </is>
      </c>
      <c r="C9" s="14" t="inlineStr">
        <is>
          <t>Firearms</t>
        </is>
      </c>
      <c r="D9" s="14" t="inlineStr">
        <is>
          <t>Yes</t>
        </is>
      </c>
      <c r="E9" s="14" t="inlineStr">
        <is>
          <t>Yes</t>
        </is>
      </c>
    </row>
    <row r="10">
      <c r="A10" s="14" t="inlineStr">
        <is>
          <t>FC-009</t>
        </is>
      </c>
      <c r="B10" s="14" t="inlineStr">
        <is>
          <t>Importation of Firearm</t>
        </is>
      </c>
      <c r="C10" s="14" t="inlineStr">
        <is>
          <t>Firearms</t>
        </is>
      </c>
      <c r="D10" s="14" t="inlineStr">
        <is>
          <t>Yes</t>
        </is>
      </c>
      <c r="E10" s="14" t="inlineStr">
        <is>
          <t>Yes</t>
        </is>
      </c>
    </row>
    <row r="11">
      <c r="A11" s="14" t="inlineStr">
        <is>
          <t>NC-001</t>
        </is>
      </c>
      <c r="B11" s="14" t="inlineStr">
        <is>
          <t>Possession of Cannabis</t>
        </is>
      </c>
      <c r="C11" s="14" t="inlineStr">
        <is>
          <t>Narcotics</t>
        </is>
      </c>
      <c r="D11" s="14" t="inlineStr">
        <is>
          <t>Yes</t>
        </is>
      </c>
      <c r="E11" s="14" t="inlineStr">
        <is>
          <t>Yes</t>
        </is>
      </c>
    </row>
    <row r="12">
      <c r="A12" s="14" t="inlineStr">
        <is>
          <t>NC-002</t>
        </is>
      </c>
      <c r="B12" s="14" t="inlineStr">
        <is>
          <t>Possession of Cocaine</t>
        </is>
      </c>
      <c r="C12" s="14" t="inlineStr">
        <is>
          <t>Narcotics</t>
        </is>
      </c>
      <c r="D12" s="14" t="inlineStr">
        <is>
          <t>Yes</t>
        </is>
      </c>
      <c r="E12" s="14" t="inlineStr">
        <is>
          <t>Yes</t>
        </is>
      </c>
    </row>
    <row r="13">
      <c r="A13" s="14" t="inlineStr">
        <is>
          <t>NC-003</t>
        </is>
      </c>
      <c r="B13" s="14" t="inlineStr">
        <is>
          <t>Trafficking of Narcotics</t>
        </is>
      </c>
      <c r="C13" s="14" t="inlineStr">
        <is>
          <t>Narcotics</t>
        </is>
      </c>
      <c r="D13" s="14" t="inlineStr">
        <is>
          <t>Yes</t>
        </is>
      </c>
      <c r="E13" s="14" t="inlineStr">
        <is>
          <t>Yes</t>
        </is>
      </c>
    </row>
    <row r="14">
      <c r="A14" s="14" t="inlineStr">
        <is>
          <t>NC-004</t>
        </is>
      </c>
      <c r="B14" s="14" t="inlineStr">
        <is>
          <t>Cultivation of Narcotics</t>
        </is>
      </c>
      <c r="C14" s="14" t="inlineStr">
        <is>
          <t>Narcotics</t>
        </is>
      </c>
      <c r="D14" s="14" t="inlineStr">
        <is>
          <t>Yes</t>
        </is>
      </c>
      <c r="E14" s="14" t="inlineStr">
        <is>
          <t>Yes</t>
        </is>
      </c>
    </row>
    <row r="15">
      <c r="A15" s="14" t="inlineStr">
        <is>
          <t>NC-005</t>
        </is>
      </c>
      <c r="B15" s="14" t="inlineStr">
        <is>
          <t>Distribution of Narcotics</t>
        </is>
      </c>
      <c r="C15" s="14" t="inlineStr">
        <is>
          <t>Narcotics</t>
        </is>
      </c>
      <c r="D15" s="14" t="inlineStr">
        <is>
          <t>Yes</t>
        </is>
      </c>
      <c r="E15" s="14" t="inlineStr">
        <is>
          <t>Yes</t>
        </is>
      </c>
    </row>
    <row r="16">
      <c r="A16" s="14" t="inlineStr">
        <is>
          <t>NC-006</t>
        </is>
      </c>
      <c r="B16" s="14" t="inlineStr">
        <is>
          <t>Importation of Narcotics</t>
        </is>
      </c>
      <c r="C16" s="14" t="inlineStr">
        <is>
          <t>Narcotics</t>
        </is>
      </c>
      <c r="D16" s="14" t="inlineStr">
        <is>
          <t>Yes</t>
        </is>
      </c>
      <c r="E16" s="14" t="inlineStr">
        <is>
          <t>Yes</t>
        </is>
      </c>
    </row>
    <row r="17">
      <c r="A17" s="14" t="inlineStr">
        <is>
          <t>NC-007</t>
        </is>
      </c>
      <c r="B17" s="14" t="inlineStr">
        <is>
          <t>Conspiracy - Narcotics</t>
        </is>
      </c>
      <c r="C17" s="14" t="inlineStr">
        <is>
          <t>Narcotics</t>
        </is>
      </c>
      <c r="D17" s="14" t="inlineStr">
        <is>
          <t>Yes</t>
        </is>
      </c>
      <c r="E17" s="14" t="inlineStr">
        <is>
          <t>Yes</t>
        </is>
      </c>
    </row>
    <row r="18">
      <c r="A18" s="14" t="inlineStr">
        <is>
          <t>NC-008</t>
        </is>
      </c>
      <c r="B18" s="14" t="inlineStr">
        <is>
          <t>Possession of Other Drug</t>
        </is>
      </c>
      <c r="C18" s="14" t="inlineStr">
        <is>
          <t>Narcotics</t>
        </is>
      </c>
      <c r="D18" s="14" t="inlineStr">
        <is>
          <t>Yes</t>
        </is>
      </c>
      <c r="E18" s="14" t="inlineStr">
        <is>
          <t>Yes</t>
        </is>
      </c>
    </row>
    <row r="19">
      <c r="A19" s="14" t="inlineStr">
        <is>
          <t>OT-001</t>
        </is>
      </c>
      <c r="B19" s="14" t="inlineStr">
        <is>
          <t>Robbery (No Firearm)</t>
        </is>
      </c>
      <c r="C19" s="14" t="inlineStr">
        <is>
          <t>Other</t>
        </is>
      </c>
      <c r="D19" s="14" t="inlineStr">
        <is>
          <t>No</t>
        </is>
      </c>
      <c r="E19" s="14" t="inlineStr">
        <is>
          <t>No</t>
        </is>
      </c>
    </row>
    <row r="20">
      <c r="A20" s="14" t="inlineStr">
        <is>
          <t>OT-002</t>
        </is>
      </c>
      <c r="B20" s="14" t="inlineStr">
        <is>
          <t>Burglary</t>
        </is>
      </c>
      <c r="C20" s="14" t="inlineStr">
        <is>
          <t>Other</t>
        </is>
      </c>
      <c r="D20" s="14" t="inlineStr">
        <is>
          <t>No</t>
        </is>
      </c>
      <c r="E20" s="14" t="inlineStr">
        <is>
          <t>No</t>
        </is>
      </c>
    </row>
    <row r="21">
      <c r="A21" s="14" t="inlineStr">
        <is>
          <t>OT-003</t>
        </is>
      </c>
      <c r="B21" s="14" t="inlineStr">
        <is>
          <t>Assault (Non-Firearm)</t>
        </is>
      </c>
      <c r="C21" s="14" t="inlineStr">
        <is>
          <t>Other</t>
        </is>
      </c>
      <c r="D21" s="14" t="inlineStr">
        <is>
          <t>No</t>
        </is>
      </c>
      <c r="E21" s="14" t="inlineStr">
        <is>
          <t>No</t>
        </is>
      </c>
    </row>
    <row r="22">
      <c r="A22" s="14" t="inlineStr">
        <is>
          <t>OT-004</t>
        </is>
      </c>
      <c r="B22" s="14" t="inlineStr">
        <is>
          <t>Fraud</t>
        </is>
      </c>
      <c r="C22" s="14" t="inlineStr">
        <is>
          <t>Other</t>
        </is>
      </c>
      <c r="D22" s="14" t="inlineStr">
        <is>
          <t>No</t>
        </is>
      </c>
      <c r="E22" s="14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24" customWidth="1" min="3" max="3"/>
    <col width="22" customWidth="1" min="4" max="4"/>
    <col width="30" customWidth="1" min="5" max="5"/>
  </cols>
  <sheetData>
    <row r="1">
      <c r="A1" s="13" t="inlineStr">
        <is>
          <t>EvidenceType</t>
        </is>
      </c>
      <c r="B1" s="13" t="inlineStr">
        <is>
          <t>RecommendedForensicAgency</t>
        </is>
      </c>
      <c r="C1" s="13" t="inlineStr">
        <is>
          <t>TestType</t>
        </is>
      </c>
      <c r="D1" s="13" t="inlineStr">
        <is>
          <t>ExpectedTurnaround_Days</t>
        </is>
      </c>
      <c r="E1" s="13" t="inlineStr">
        <is>
          <t>Notes</t>
        </is>
      </c>
    </row>
    <row r="2">
      <c r="A2" s="14" t="inlineStr">
        <is>
          <t>Firearm</t>
        </is>
      </c>
      <c r="B2" s="14" t="inlineStr">
        <is>
          <t>Ballistics Unit</t>
        </is>
      </c>
      <c r="C2" s="14" t="inlineStr">
        <is>
          <t>Ballistic Comparison</t>
        </is>
      </c>
      <c r="D2" s="14" t="n">
        <v>30</v>
      </c>
      <c r="E2" s="14" t="inlineStr">
        <is>
          <t>Serial number trace included</t>
        </is>
      </c>
    </row>
    <row r="3">
      <c r="A3" s="14" t="inlineStr">
        <is>
          <t>Ammunition</t>
        </is>
      </c>
      <c r="B3" s="14" t="inlineStr">
        <is>
          <t>Ballistics Unit</t>
        </is>
      </c>
      <c r="C3" s="14" t="inlineStr">
        <is>
          <t>Cartridge/Projectile Analysis</t>
        </is>
      </c>
      <c r="D3" s="14" t="n">
        <v>21</v>
      </c>
      <c r="E3" s="14" t="inlineStr">
        <is>
          <t>Match to firearm</t>
        </is>
      </c>
    </row>
    <row r="4">
      <c r="A4" s="14" t="inlineStr">
        <is>
          <t>Narcotics - Cannabis</t>
        </is>
      </c>
      <c r="B4" s="14" t="inlineStr">
        <is>
          <t>Chemistry Division</t>
        </is>
      </c>
      <c r="C4" s="14" t="inlineStr">
        <is>
          <t>Substance Identification</t>
        </is>
      </c>
      <c r="D4" s="14" t="n">
        <v>14</v>
      </c>
      <c r="E4" s="14" t="inlineStr">
        <is>
          <t>Weight &amp; purity</t>
        </is>
      </c>
    </row>
    <row r="5">
      <c r="A5" s="14" t="inlineStr">
        <is>
          <t>Narcotics - Cocaine</t>
        </is>
      </c>
      <c r="B5" s="14" t="inlineStr">
        <is>
          <t>Chemistry Division</t>
        </is>
      </c>
      <c r="C5" s="14" t="inlineStr">
        <is>
          <t>Substance Identification</t>
        </is>
      </c>
      <c r="D5" s="14" t="n">
        <v>14</v>
      </c>
      <c r="E5" s="14" t="inlineStr">
        <is>
          <t>Weight &amp; purity</t>
        </is>
      </c>
    </row>
    <row r="6">
      <c r="A6" s="14" t="inlineStr">
        <is>
          <t>Narcotics - Other</t>
        </is>
      </c>
      <c r="B6" s="14" t="inlineStr">
        <is>
          <t>Chemistry Division</t>
        </is>
      </c>
      <c r="C6" s="14" t="inlineStr">
        <is>
          <t>Substance Identification</t>
        </is>
      </c>
      <c r="D6" s="14" t="n">
        <v>21</v>
      </c>
      <c r="E6" s="14" t="inlineStr">
        <is>
          <t>Compound analysis</t>
        </is>
      </c>
    </row>
    <row r="7">
      <c r="A7" s="14" t="inlineStr">
        <is>
          <t>Fingerprint</t>
        </is>
      </c>
      <c r="B7" s="14" t="inlineStr">
        <is>
          <t>Fingerprint Bureau</t>
        </is>
      </c>
      <c r="C7" s="14" t="inlineStr">
        <is>
          <t>AFIS Comparison</t>
        </is>
      </c>
      <c r="D7" s="14" t="n">
        <v>14</v>
      </c>
      <c r="E7" s="14" t="inlineStr">
        <is>
          <t>Latent print processing</t>
        </is>
      </c>
    </row>
    <row r="8">
      <c r="A8" s="14" t="inlineStr">
        <is>
          <t>Biological Sample</t>
        </is>
      </c>
      <c r="B8" s="14" t="inlineStr">
        <is>
          <t>DNA Lab</t>
        </is>
      </c>
      <c r="C8" s="14" t="inlineStr">
        <is>
          <t>DNA Profiling</t>
        </is>
      </c>
      <c r="D8" s="14" t="n">
        <v>45</v>
      </c>
      <c r="E8" s="14" t="inlineStr">
        <is>
          <t>CODIS check</t>
        </is>
      </c>
    </row>
    <row r="9">
      <c r="A9" s="14" t="inlineStr">
        <is>
          <t>Electronic Device</t>
        </is>
      </c>
      <c r="B9" s="14" t="inlineStr">
        <is>
          <t>Cyber Forensics Unit</t>
        </is>
      </c>
      <c r="C9" s="14" t="inlineStr">
        <is>
          <t>Data Extraction</t>
        </is>
      </c>
      <c r="D9" s="14" t="n">
        <v>30</v>
      </c>
      <c r="E9" s="14" t="inlineStr">
        <is>
          <t>Mobile/computer forensics</t>
        </is>
      </c>
    </row>
    <row r="10">
      <c r="A10" s="14" t="inlineStr">
        <is>
          <t>CCTV Footage</t>
        </is>
      </c>
      <c r="B10" s="14" t="inlineStr">
        <is>
          <t>Cyber Forensics Unit</t>
        </is>
      </c>
      <c r="C10" s="14" t="inlineStr">
        <is>
          <t>Video Enhancement</t>
        </is>
      </c>
      <c r="D10" s="14" t="n">
        <v>14</v>
      </c>
      <c r="E10" s="14" t="inlineStr">
        <is>
          <t>Frame analysis</t>
        </is>
      </c>
    </row>
    <row r="11">
      <c r="A11" s="14" t="inlineStr">
        <is>
          <t>Ballistic Evidence</t>
        </is>
      </c>
      <c r="B11" s="14" t="inlineStr">
        <is>
          <t>Ballistics Unit</t>
        </is>
      </c>
      <c r="C11" s="14" t="inlineStr">
        <is>
          <t>Trajectory/Residue Analysis</t>
        </is>
      </c>
      <c r="D11" s="14" t="n">
        <v>21</v>
      </c>
      <c r="E11" s="14" t="inlineStr">
        <is>
          <t>GSR included</t>
        </is>
      </c>
    </row>
    <row r="12">
      <c r="A12" s="14" t="inlineStr">
        <is>
          <t>Document</t>
        </is>
      </c>
      <c r="B12" s="14" t="inlineStr">
        <is>
          <t>Government Forensic Lab</t>
        </is>
      </c>
      <c r="C12" s="14" t="inlineStr">
        <is>
          <t>Document Examination</t>
        </is>
      </c>
      <c r="D12" s="14" t="n">
        <v>21</v>
      </c>
      <c r="E12" s="14" t="inlineStr">
        <is>
          <t>Handwriting/forgery</t>
        </is>
      </c>
    </row>
    <row r="13">
      <c r="A13" s="14" t="inlineStr">
        <is>
          <t>Cash/Currency</t>
        </is>
      </c>
      <c r="B13" s="14" t="inlineStr">
        <is>
          <t>Government Forensic Lab</t>
        </is>
      </c>
      <c r="C13" s="14" t="inlineStr">
        <is>
          <t>Trace Analysis</t>
        </is>
      </c>
      <c r="D13" s="14" t="n">
        <v>14</v>
      </c>
      <c r="E13" s="14" t="inlineStr">
        <is>
          <t>Drug trace detection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28" customWidth="1" min="3" max="3"/>
    <col width="24" customWidth="1" min="4" max="4"/>
    <col width="30" customWidth="1" min="5" max="5"/>
  </cols>
  <sheetData>
    <row r="1">
      <c r="A1" s="13" t="inlineStr">
        <is>
          <t>EvidenceType</t>
        </is>
      </c>
      <c r="B1" s="13" t="inlineStr">
        <is>
          <t>EvidentialUse</t>
        </is>
      </c>
      <c r="C1" s="13" t="inlineStr">
        <is>
          <t>CaseElement_Supported</t>
        </is>
      </c>
      <c r="D1" s="13" t="inlineStr">
        <is>
          <t>LegalRequirement</t>
        </is>
      </c>
      <c r="E1" s="13" t="inlineStr">
        <is>
          <t>Notes</t>
        </is>
      </c>
    </row>
    <row r="2">
      <c r="A2" s="15" t="inlineStr">
        <is>
          <t>Firearm</t>
        </is>
      </c>
      <c r="B2" s="15" t="inlineStr">
        <is>
          <t>Proves possession / links to crime</t>
        </is>
      </c>
      <c r="C2" s="15" t="inlineStr">
        <is>
          <t>Actus Reus - Weapon</t>
        </is>
      </c>
      <c r="D2" s="15" t="inlineStr">
        <is>
          <t>Firearms Act</t>
        </is>
      </c>
      <c r="E2" s="15" t="inlineStr">
        <is>
          <t>Chain of custody critical</t>
        </is>
      </c>
    </row>
    <row r="3">
      <c r="A3" s="15" t="inlineStr">
        <is>
          <t>Ammunition</t>
        </is>
      </c>
      <c r="B3" s="15" t="inlineStr">
        <is>
          <t>Corroborates firearm possession</t>
        </is>
      </c>
      <c r="C3" s="15" t="inlineStr">
        <is>
          <t>Actus Reus - Ammunition</t>
        </is>
      </c>
      <c r="D3" s="15" t="inlineStr">
        <is>
          <t>Firearms Act</t>
        </is>
      </c>
      <c r="E3" s="15" t="inlineStr">
        <is>
          <t>Match to firearm if possible</t>
        </is>
      </c>
    </row>
    <row r="4">
      <c r="A4" s="15" t="inlineStr">
        <is>
          <t>Narcotics - Cannabis</t>
        </is>
      </c>
      <c r="B4" s="15" t="inlineStr">
        <is>
          <t>Proves possession / quantity</t>
        </is>
      </c>
      <c r="C4" s="15" t="inlineStr">
        <is>
          <t>Actus Reus - Substance</t>
        </is>
      </c>
      <c r="D4" s="15" t="inlineStr">
        <is>
          <t>Dangerous Drugs Act</t>
        </is>
      </c>
      <c r="E4" s="15" t="inlineStr">
        <is>
          <t>Certified weight required</t>
        </is>
      </c>
    </row>
    <row r="5">
      <c r="A5" s="15" t="inlineStr">
        <is>
          <t>Narcotics - Cocaine</t>
        </is>
      </c>
      <c r="B5" s="15" t="inlineStr">
        <is>
          <t>Proves possession / quantity</t>
        </is>
      </c>
      <c r="C5" s="15" t="inlineStr">
        <is>
          <t>Actus Reus - Substance</t>
        </is>
      </c>
      <c r="D5" s="15" t="inlineStr">
        <is>
          <t>Dangerous Drugs Act</t>
        </is>
      </c>
      <c r="E5" s="15" t="inlineStr">
        <is>
          <t>Purity analysis for trafficking</t>
        </is>
      </c>
    </row>
    <row r="6">
      <c r="A6" s="15" t="inlineStr">
        <is>
          <t>Fingerprint</t>
        </is>
      </c>
      <c r="B6" s="15" t="inlineStr">
        <is>
          <t>Links suspect to scene/item</t>
        </is>
      </c>
      <c r="C6" s="15" t="inlineStr">
        <is>
          <t>Identity</t>
        </is>
      </c>
      <c r="D6" s="15" t="inlineStr">
        <is>
          <t>Evidence Act</t>
        </is>
      </c>
      <c r="E6" s="15" t="inlineStr">
        <is>
          <t>AFIS hit + expert testimony</t>
        </is>
      </c>
    </row>
    <row r="7">
      <c r="A7" s="15" t="inlineStr">
        <is>
          <t>Biological Sample</t>
        </is>
      </c>
      <c r="B7" s="15" t="inlineStr">
        <is>
          <t>Links suspect via DNA</t>
        </is>
      </c>
      <c r="C7" s="15" t="inlineStr">
        <is>
          <t>Identity</t>
        </is>
      </c>
      <c r="D7" s="15" t="inlineStr">
        <is>
          <t>Evidence Act</t>
        </is>
      </c>
      <c r="E7" s="15" t="inlineStr">
        <is>
          <t>DNA profile match</t>
        </is>
      </c>
    </row>
    <row r="8">
      <c r="A8" s="15" t="inlineStr">
        <is>
          <t>Electronic Device</t>
        </is>
      </c>
      <c r="B8" s="15" t="inlineStr">
        <is>
          <t>Communications / planning evidence</t>
        </is>
      </c>
      <c r="C8" s="15" t="inlineStr">
        <is>
          <t>Mens Rea / Conspiracy</t>
        </is>
      </c>
      <c r="D8" s="15" t="inlineStr">
        <is>
          <t>Cybercrimes Act</t>
        </is>
      </c>
      <c r="E8" s="15" t="inlineStr">
        <is>
          <t>Extraction report as exhibit</t>
        </is>
      </c>
    </row>
    <row r="9">
      <c r="A9" s="15" t="inlineStr">
        <is>
          <t>CCTV Footage</t>
        </is>
      </c>
      <c r="B9" s="15" t="inlineStr">
        <is>
          <t>Visual identification / timeline</t>
        </is>
      </c>
      <c r="C9" s="15" t="inlineStr">
        <is>
          <t>Identity / Timeline</t>
        </is>
      </c>
      <c r="D9" s="15" t="inlineStr">
        <is>
          <t>Evidence Act</t>
        </is>
      </c>
      <c r="E9" s="15" t="inlineStr">
        <is>
          <t>Authentication certificate</t>
        </is>
      </c>
    </row>
    <row r="10">
      <c r="A10" s="15" t="inlineStr">
        <is>
          <t>Ballistic Evidence</t>
        </is>
      </c>
      <c r="B10" s="15" t="inlineStr">
        <is>
          <t>Links firearm to shooting</t>
        </is>
      </c>
      <c r="C10" s="15" t="inlineStr">
        <is>
          <t>Actus Reus - Weapon Use</t>
        </is>
      </c>
      <c r="D10" s="15" t="inlineStr">
        <is>
          <t>Firearms Act</t>
        </is>
      </c>
      <c r="E10" s="15" t="inlineStr">
        <is>
          <t>Expert ballistic report</t>
        </is>
      </c>
    </row>
    <row r="11">
      <c r="A11" s="15" t="inlineStr">
        <is>
          <t>Cash/Currency</t>
        </is>
      </c>
      <c r="B11" s="15" t="inlineStr">
        <is>
          <t>Proceeds of crime</t>
        </is>
      </c>
      <c r="C11" s="15" t="inlineStr">
        <is>
          <t>Proceeds</t>
        </is>
      </c>
      <c r="D11" s="15" t="inlineStr">
        <is>
          <t>Proceeds of Crime Act</t>
        </is>
      </c>
      <c r="E11" s="15" t="inlineStr">
        <is>
          <t>Amount + trace evidence</t>
        </is>
      </c>
    </row>
    <row r="12">
      <c r="A12" s="15" t="inlineStr">
        <is>
          <t>Document</t>
        </is>
      </c>
      <c r="B12" s="15" t="inlineStr">
        <is>
          <t>Forged / planning documents</t>
        </is>
      </c>
      <c r="C12" s="15" t="inlineStr">
        <is>
          <t>Mens Rea / Identity</t>
        </is>
      </c>
      <c r="D12" s="15" t="inlineStr">
        <is>
          <t>Forgery Act</t>
        </is>
      </c>
      <c r="E12" s="15" t="inlineStr">
        <is>
          <t>Expert document report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BF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4" customWidth="1" min="6" max="6"/>
    <col width="30" customWidth="1" min="7" max="7"/>
    <col width="16" customWidth="1" min="8" max="8"/>
    <col width="16" customWidth="1" min="9" max="9"/>
    <col width="20" customWidth="1" min="10" max="10"/>
    <col width="20" customWidth="1" min="11" max="11"/>
    <col width="20" customWidth="1" min="12" max="12"/>
    <col width="16" customWidth="1" min="13" max="13"/>
    <col width="12" customWidth="1" min="14" max="14"/>
    <col width="18" customWidth="1" min="15" max="15"/>
    <col width="20" customWidth="1" min="16" max="16"/>
    <col width="14" customWidth="1" min="17" max="17"/>
    <col width="14" customWidth="1" min="18" max="18"/>
    <col width="16" customWidth="1" min="19" max="19"/>
    <col width="14" customWidth="1" min="20" max="20"/>
    <col width="14" customWidth="1" min="21" max="21"/>
    <col width="14" customWidth="1" min="22" max="22"/>
    <col width="12" customWidth="1" min="23" max="23"/>
    <col width="14" customWidth="1" min="24" max="24"/>
    <col width="14" customWidth="1" min="25" max="25"/>
    <col width="30" customWidth="1" min="26" max="26"/>
    <col width="14" customWidth="1" min="27" max="27"/>
    <col width="14" customWidth="1" min="28" max="28"/>
    <col width="14" customWidth="1" min="29" max="29"/>
    <col width="14" customWidth="1" min="30" max="30"/>
    <col width="8" customWidth="1" min="31" max="31"/>
    <col width="8" customWidth="1" min="32" max="32"/>
    <col width="8" customWidth="1" min="33" max="33"/>
    <col width="8" customWidth="1" min="34" max="34"/>
    <col width="14" customWidth="1" min="35" max="35"/>
    <col width="14" customWidth="1" min="36" max="36"/>
    <col width="16" customWidth="1" min="37" max="37"/>
    <col width="16" customWidth="1" min="38" max="38"/>
    <col width="16" customWidth="1" min="39" max="39"/>
    <col width="14" customWidth="1" min="40" max="40"/>
    <col width="14" customWidth="1" min="41" max="41"/>
    <col width="14" customWidth="1" min="42" max="42"/>
    <col width="12" customWidth="1" min="43" max="43"/>
    <col width="12" customWidth="1" min="44" max="44"/>
    <col width="12" customWidth="1" min="45" max="45"/>
    <col width="16" customWidth="1" min="46" max="46"/>
    <col width="16" customWidth="1" min="47" max="47"/>
    <col width="16" customWidth="1" min="48" max="48"/>
    <col width="14" customWidth="1" min="49" max="49"/>
    <col width="16" customWidth="1" min="50" max="50"/>
    <col width="14" customWidth="1" min="51" max="51"/>
    <col width="16" customWidth="1" min="52" max="52"/>
    <col width="14" customWidth="1" min="53" max="53"/>
    <col width="18" customWidth="1" min="54" max="54"/>
    <col width="16" customWidth="1" min="55" max="55"/>
    <col width="14" customWidth="1" min="56" max="56"/>
    <col width="12" customWidth="1" min="57" max="57"/>
    <col width="14" customWidth="1" min="58" max="58"/>
  </cols>
  <sheetData>
    <row r="1">
      <c r="A1" s="13" t="inlineStr">
        <is>
          <t>CaseID</t>
        </is>
      </c>
      <c r="B1" s="13" t="inlineStr">
        <is>
          <t>CR1_Number</t>
        </is>
      </c>
      <c r="C1" s="13" t="inlineStr">
        <is>
          <t>CR2_Number</t>
        </is>
      </c>
      <c r="D1" s="13" t="inlineStr">
        <is>
          <t>CR5_Number</t>
        </is>
      </c>
      <c r="E1" s="13" t="inlineStr">
        <is>
          <t>DateReceived</t>
        </is>
      </c>
      <c r="F1" s="13" t="inlineStr">
        <is>
          <t>OffenceType</t>
        </is>
      </c>
      <c r="G1" s="13" t="inlineStr">
        <is>
          <t>OffenceDescription</t>
        </is>
      </c>
      <c r="H1" s="13" t="inlineStr">
        <is>
          <t>Parish</t>
        </is>
      </c>
      <c r="I1" s="13" t="inlineStr">
        <is>
          <t>Station</t>
        </is>
      </c>
      <c r="J1" s="13" t="inlineStr">
        <is>
          <t>Complainant</t>
        </is>
      </c>
      <c r="K1" s="13" t="inlineStr">
        <is>
          <t>Suspect</t>
        </is>
      </c>
      <c r="L1" s="13" t="inlineStr">
        <is>
          <t>InvestigatorAssigned</t>
        </is>
      </c>
      <c r="M1" s="13" t="inlineStr">
        <is>
          <t>Unit</t>
        </is>
      </c>
      <c r="N1" s="13" t="inlineStr">
        <is>
          <t>Priority</t>
        </is>
      </c>
      <c r="O1" s="13" t="inlineStr">
        <is>
          <t>CaseStatus</t>
        </is>
      </c>
      <c r="P1" s="13" t="inlineStr">
        <is>
          <t>SupervisorReview</t>
        </is>
      </c>
      <c r="Q1" s="13" t="inlineStr">
        <is>
          <t>ReviewDate</t>
        </is>
      </c>
      <c r="R1" s="13" t="inlineStr">
        <is>
          <t>NextActionDue</t>
        </is>
      </c>
      <c r="S1" s="13" t="inlineStr">
        <is>
          <t>ComplianceFlag</t>
        </is>
      </c>
      <c r="T1" s="13" t="inlineStr">
        <is>
          <t>CR1_Compliant</t>
        </is>
      </c>
      <c r="U1" s="13" t="inlineStr">
        <is>
          <t>CR2_Compliant</t>
        </is>
      </c>
      <c r="V1" s="13" t="inlineStr">
        <is>
          <t>CR5_Compliant</t>
        </is>
      </c>
      <c r="W1" s="13" t="inlineStr">
        <is>
          <t>FCSI_Flag</t>
        </is>
      </c>
      <c r="X1" s="13" t="inlineStr">
        <is>
          <t>LinkedLeadID</t>
        </is>
      </c>
      <c r="Y1" s="13" t="inlineStr">
        <is>
          <t>LinkedOpsID</t>
        </is>
      </c>
      <c r="Z1" s="13" t="inlineStr">
        <is>
          <t>Notes</t>
        </is>
      </c>
      <c r="AA1" s="13" t="inlineStr">
        <is>
          <t>CreatedBy</t>
        </is>
      </c>
      <c r="AB1" s="13" t="inlineStr">
        <is>
          <t>CreatedDate</t>
        </is>
      </c>
      <c r="AC1" s="13" t="inlineStr">
        <is>
          <t>LastUpdatedBy</t>
        </is>
      </c>
      <c r="AD1" s="13" t="inlineStr">
        <is>
          <t>LastUpdatedDate</t>
        </is>
      </c>
      <c r="AE1" s="13" t="inlineStr">
        <is>
          <t>Week</t>
        </is>
      </c>
      <c r="AF1" s="13" t="inlineStr">
        <is>
          <t>Month</t>
        </is>
      </c>
      <c r="AG1" s="13" t="inlineStr">
        <is>
          <t>Quarter</t>
        </is>
      </c>
      <c r="AH1" s="13" t="inlineStr">
        <is>
          <t>Year</t>
        </is>
      </c>
      <c r="AI1" s="13" t="inlineStr">
        <is>
          <t>IncidentDate</t>
        </is>
      </c>
      <c r="AJ1" s="13" t="inlineStr">
        <is>
          <t>RegistrationSLA_Hrs</t>
        </is>
      </c>
      <c r="AK1" s="13" t="inlineStr">
        <is>
          <t>StationDiaryRef</t>
        </is>
      </c>
      <c r="AL1" s="13" t="inlineStr">
        <is>
          <t>InvestigationPlanID</t>
        </is>
      </c>
      <c r="AM1" s="13" t="inlineStr">
        <is>
          <t>InvestigatorChangeCount</t>
        </is>
      </c>
      <c r="AN1" s="13" t="inlineStr">
        <is>
          <t>LastReviewDate</t>
        </is>
      </c>
      <c r="AO1" s="13" t="inlineStr">
        <is>
          <t>NextReviewDue</t>
        </is>
      </c>
      <c r="AP1" s="13" t="inlineStr">
        <is>
          <t>ReviewInterval</t>
        </is>
      </c>
      <c r="AQ1" s="13" t="inlineStr">
        <is>
          <t>TotalStatements</t>
        </is>
      </c>
      <c r="AR1" s="13" t="inlineStr">
        <is>
          <t>TotalWitnesses</t>
        </is>
      </c>
      <c r="AS1" s="13" t="inlineStr">
        <is>
          <t>TotalExhibits</t>
        </is>
      </c>
      <c r="AT1" s="13" t="inlineStr">
        <is>
          <t>FileCompletenessScore</t>
        </is>
      </c>
      <c r="AU1" s="13" t="inlineStr">
        <is>
          <t>VictimLastContacted</t>
        </is>
      </c>
      <c r="AV1" s="13" t="inlineStr">
        <is>
          <t>VictimNextContact</t>
        </is>
      </c>
      <c r="AW1" s="13" t="inlineStr">
        <is>
          <t>ChargeDate</t>
        </is>
      </c>
      <c r="AX1" s="13" t="inlineStr">
        <is>
          <t>ChargeDeadline_48hr</t>
        </is>
      </c>
      <c r="AY1" s="13" t="inlineStr">
        <is>
          <t>ChargeDeadlineMet</t>
        </is>
      </c>
      <c r="AZ1" s="13" t="inlineStr">
        <is>
          <t>DisposalType</t>
        </is>
      </c>
      <c r="BA1" s="13" t="inlineStr">
        <is>
          <t>DisposalDate</t>
        </is>
      </c>
      <c r="BB1" s="13" t="inlineStr">
        <is>
          <t>DisposalApprovedBy</t>
        </is>
      </c>
      <c r="BC1" s="13" t="inlineStr">
        <is>
          <t>FileLocation</t>
        </is>
      </c>
      <c r="BD1" s="13" t="inlineStr">
        <is>
          <t>ArchiveRef</t>
        </is>
      </c>
      <c r="BE1" s="13" t="inlineStr">
        <is>
          <t>DaysOpen</t>
        </is>
      </c>
      <c r="BF1" s="13" t="inlineStr">
        <is>
          <t>AgingBand</t>
        </is>
      </c>
    </row>
    <row r="2">
      <c r="A2" s="14">
        <f>IF(B2="","","CASE-"&amp;TEXT(ROW()-1,"0000"))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>
        <f>IF(AND(T2="Yes",U2="Yes",V2="Yes"),"Compliant","Non-Compliant")</f>
        <v/>
      </c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>
        <f>IF(E2="","",WEEKNUM(E2))</f>
        <v/>
      </c>
      <c r="AF2" s="14">
        <f>IF(E2="","",MONTH(E2))</f>
        <v/>
      </c>
      <c r="AG2" s="14">
        <f>IF(E2="","",ROUNDUP(MONTH(E2)/3,0))</f>
        <v/>
      </c>
      <c r="AH2" s="14">
        <f>IF(E2="","",YEAR(E2))</f>
        <v/>
      </c>
      <c r="AI2" s="14" t="n"/>
      <c r="AJ2" s="14">
        <f>IF(OR(E2="",AI2=""),"",(E2-AI2)*24)</f>
        <v/>
      </c>
      <c r="AK2" s="14" t="n"/>
      <c r="AL2" s="14" t="n"/>
      <c r="AM2" s="14">
        <f>IFERROR(COUNTIF(tbl_CaseAssignments[LinkedCaseID],A2),0)</f>
        <v/>
      </c>
      <c r="AN2" s="14" t="n"/>
      <c r="AO2" s="14" t="n"/>
      <c r="AP2" s="14" t="n"/>
      <c r="AQ2" s="14">
        <f>IFERROR(COUNTIF(tbl_Statements[LinkedCaseID],A2),0)</f>
        <v/>
      </c>
      <c r="AR2" s="14">
        <f>IFERROR(COUNTIF(tbl_Witnesses[LinkedCaseID],A2),0)</f>
        <v/>
      </c>
      <c r="AS2" s="14">
        <f>IFERROR(COUNTIF(tbl_Exhibits[LinkedCaseID],A2),0)</f>
        <v/>
      </c>
      <c r="AT2" s="16">
        <f>IFERROR(INDEX(tbl_CaseFileChecklist[CompletenessScore],MATCH(A2,tbl_CaseFileChecklist[LinkedCaseID],0)),"—")</f>
        <v/>
      </c>
      <c r="AU2" s="14" t="n"/>
      <c r="AV2" s="14" t="n"/>
      <c r="AW2" s="14" t="n"/>
      <c r="AX2" s="14">
        <f>IF(AI2="","",AI2+2)</f>
        <v/>
      </c>
      <c r="AY2" s="14">
        <f>IF(OR(AW2="",AX2=""),"",IF(AW2&lt;=AX2,"Yes","No"))</f>
        <v/>
      </c>
      <c r="AZ2" s="14" t="n"/>
      <c r="BA2" s="14" t="n"/>
      <c r="BB2" s="14" t="n"/>
      <c r="BC2" s="14" t="n"/>
      <c r="BD2" s="14" t="n"/>
      <c r="BE2" s="14">
        <f>IF(OR(E2="",LEFT(O2,6)="Closed"),"",TODAY()-E2)</f>
        <v/>
      </c>
      <c r="BF2" s="14">
        <f>IF(BE2="","",IF(BE2&lt;=30,"0-30 days",IF(BE2&lt;=60,"31-60 days",IF(BE2&lt;=90,"61-90 days",IF(BE2&lt;=180,"91-180 days","180+ days")))))</f>
        <v/>
      </c>
    </row>
    <row r="3">
      <c r="A3" s="14">
        <f>IF(B3="","","CASE-"&amp;TEXT(ROW()-1,"0000"))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>
        <f>IF(AND(T3="Yes",U3="Yes",V3="Yes"),"Compliant","Non-Compliant")</f>
        <v/>
      </c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>
        <f>IF(E3="","",WEEKNUM(E3))</f>
        <v/>
      </c>
      <c r="AF3" s="14">
        <f>IF(E3="","",MONTH(E3))</f>
        <v/>
      </c>
      <c r="AG3" s="14">
        <f>IF(E3="","",ROUNDUP(MONTH(E3)/3,0))</f>
        <v/>
      </c>
      <c r="AH3" s="14">
        <f>IF(E3="","",YEAR(E3))</f>
        <v/>
      </c>
      <c r="AI3" s="14" t="n"/>
      <c r="AJ3" s="14">
        <f>IF(OR(E3="",AI3=""),"",(E3-AI3)*24)</f>
        <v/>
      </c>
      <c r="AK3" s="14" t="n"/>
      <c r="AL3" s="14" t="n"/>
      <c r="AM3" s="14">
        <f>IFERROR(COUNTIF(tbl_CaseAssignments[LinkedCaseID],A3),0)</f>
        <v/>
      </c>
      <c r="AN3" s="14" t="n"/>
      <c r="AO3" s="14" t="n"/>
      <c r="AP3" s="14" t="n"/>
      <c r="AQ3" s="14">
        <f>IFERROR(COUNTIF(tbl_Statements[LinkedCaseID],A3),0)</f>
        <v/>
      </c>
      <c r="AR3" s="14">
        <f>IFERROR(COUNTIF(tbl_Witnesses[LinkedCaseID],A3),0)</f>
        <v/>
      </c>
      <c r="AS3" s="14">
        <f>IFERROR(COUNTIF(tbl_Exhibits[LinkedCaseID],A3),0)</f>
        <v/>
      </c>
      <c r="AT3" s="16">
        <f>IFERROR(INDEX(tbl_CaseFileChecklist[CompletenessScore],MATCH(A3,tbl_CaseFileChecklist[LinkedCaseID],0)),"—")</f>
        <v/>
      </c>
      <c r="AU3" s="14" t="n"/>
      <c r="AV3" s="14" t="n"/>
      <c r="AW3" s="14" t="n"/>
      <c r="AX3" s="14">
        <f>IF(AI3="","",AI3+2)</f>
        <v/>
      </c>
      <c r="AY3" s="14">
        <f>IF(OR(AW3="",AX3=""),"",IF(AW3&lt;=AX3,"Yes","No"))</f>
        <v/>
      </c>
      <c r="AZ3" s="14" t="n"/>
      <c r="BA3" s="14" t="n"/>
      <c r="BB3" s="14" t="n"/>
      <c r="BC3" s="14" t="n"/>
      <c r="BD3" s="14" t="n"/>
      <c r="BE3" s="14">
        <f>IF(OR(E3="",LEFT(O3,6)="Closed"),"",TODAY()-E3)</f>
        <v/>
      </c>
      <c r="BF3" s="14">
        <f>IF(BE3="","",IF(BE3&lt;=30,"0-30 days",IF(BE3&lt;=60,"31-60 days",IF(BE3&lt;=90,"61-90 days",IF(BE3&lt;=180,"91-180 days","180+ days")))))</f>
        <v/>
      </c>
    </row>
    <row r="4">
      <c r="A4" s="14">
        <f>IF(B4="","","CASE-"&amp;TEXT(ROW()-1,"0000"))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>
        <f>IF(AND(T4="Yes",U4="Yes",V4="Yes"),"Compliant","Non-Compliant")</f>
        <v/>
      </c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>
        <f>IF(E4="","",WEEKNUM(E4))</f>
        <v/>
      </c>
      <c r="AF4" s="14">
        <f>IF(E4="","",MONTH(E4))</f>
        <v/>
      </c>
      <c r="AG4" s="14">
        <f>IF(E4="","",ROUNDUP(MONTH(E4)/3,0))</f>
        <v/>
      </c>
      <c r="AH4" s="14">
        <f>IF(E4="","",YEAR(E4))</f>
        <v/>
      </c>
      <c r="AI4" s="14" t="n"/>
      <c r="AJ4" s="14">
        <f>IF(OR(E4="",AI4=""),"",(E4-AI4)*24)</f>
        <v/>
      </c>
      <c r="AK4" s="14" t="n"/>
      <c r="AL4" s="14" t="n"/>
      <c r="AM4" s="14">
        <f>IFERROR(COUNTIF(tbl_CaseAssignments[LinkedCaseID],A4),0)</f>
        <v/>
      </c>
      <c r="AN4" s="14" t="n"/>
      <c r="AO4" s="14" t="n"/>
      <c r="AP4" s="14" t="n"/>
      <c r="AQ4" s="14">
        <f>IFERROR(COUNTIF(tbl_Statements[LinkedCaseID],A4),0)</f>
        <v/>
      </c>
      <c r="AR4" s="14">
        <f>IFERROR(COUNTIF(tbl_Witnesses[LinkedCaseID],A4),0)</f>
        <v/>
      </c>
      <c r="AS4" s="14">
        <f>IFERROR(COUNTIF(tbl_Exhibits[LinkedCaseID],A4),0)</f>
        <v/>
      </c>
      <c r="AT4" s="16">
        <f>IFERROR(INDEX(tbl_CaseFileChecklist[CompletenessScore],MATCH(A4,tbl_CaseFileChecklist[LinkedCaseID],0)),"—")</f>
        <v/>
      </c>
      <c r="AU4" s="14" t="n"/>
      <c r="AV4" s="14" t="n"/>
      <c r="AW4" s="14" t="n"/>
      <c r="AX4" s="14">
        <f>IF(AI4="","",AI4+2)</f>
        <v/>
      </c>
      <c r="AY4" s="14">
        <f>IF(OR(AW4="",AX4=""),"",IF(AW4&lt;=AX4,"Yes","No"))</f>
        <v/>
      </c>
      <c r="AZ4" s="14" t="n"/>
      <c r="BA4" s="14" t="n"/>
      <c r="BB4" s="14" t="n"/>
      <c r="BC4" s="14" t="n"/>
      <c r="BD4" s="14" t="n"/>
      <c r="BE4" s="14">
        <f>IF(OR(E4="",LEFT(O4,6)="Closed"),"",TODAY()-E4)</f>
        <v/>
      </c>
      <c r="BF4" s="14">
        <f>IF(BE4="","",IF(BE4&lt;=30,"0-30 days",IF(BE4&lt;=60,"31-60 days",IF(BE4&lt;=90,"61-90 days",IF(BE4&lt;=180,"91-180 days","180+ days")))))</f>
        <v/>
      </c>
    </row>
    <row r="5">
      <c r="A5" s="14">
        <f>IF(B5="","","CASE-"&amp;TEXT(ROW()-1,"0000"))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>
        <f>IF(AND(T5="Yes",U5="Yes",V5="Yes"),"Compliant","Non-Compliant")</f>
        <v/>
      </c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 t="n"/>
      <c r="AE5" s="14">
        <f>IF(E5="","",WEEKNUM(E5))</f>
        <v/>
      </c>
      <c r="AF5" s="14">
        <f>IF(E5="","",MONTH(E5))</f>
        <v/>
      </c>
      <c r="AG5" s="14">
        <f>IF(E5="","",ROUNDUP(MONTH(E5)/3,0))</f>
        <v/>
      </c>
      <c r="AH5" s="14">
        <f>IF(E5="","",YEAR(E5))</f>
        <v/>
      </c>
      <c r="AI5" s="14" t="n"/>
      <c r="AJ5" s="14">
        <f>IF(OR(E5="",AI5=""),"",(E5-AI5)*24)</f>
        <v/>
      </c>
      <c r="AK5" s="14" t="n"/>
      <c r="AL5" s="14" t="n"/>
      <c r="AM5" s="14">
        <f>IFERROR(COUNTIF(tbl_CaseAssignments[LinkedCaseID],A5),0)</f>
        <v/>
      </c>
      <c r="AN5" s="14" t="n"/>
      <c r="AO5" s="14" t="n"/>
      <c r="AP5" s="14" t="n"/>
      <c r="AQ5" s="14">
        <f>IFERROR(COUNTIF(tbl_Statements[LinkedCaseID],A5),0)</f>
        <v/>
      </c>
      <c r="AR5" s="14">
        <f>IFERROR(COUNTIF(tbl_Witnesses[LinkedCaseID],A5),0)</f>
        <v/>
      </c>
      <c r="AS5" s="14">
        <f>IFERROR(COUNTIF(tbl_Exhibits[LinkedCaseID],A5),0)</f>
        <v/>
      </c>
      <c r="AT5" s="16">
        <f>IFERROR(INDEX(tbl_CaseFileChecklist[CompletenessScore],MATCH(A5,tbl_CaseFileChecklist[LinkedCaseID],0)),"—")</f>
        <v/>
      </c>
      <c r="AU5" s="14" t="n"/>
      <c r="AV5" s="14" t="n"/>
      <c r="AW5" s="14" t="n"/>
      <c r="AX5" s="14">
        <f>IF(AI5="","",AI5+2)</f>
        <v/>
      </c>
      <c r="AY5" s="14">
        <f>IF(OR(AW5="",AX5=""),"",IF(AW5&lt;=AX5,"Yes","No"))</f>
        <v/>
      </c>
      <c r="AZ5" s="14" t="n"/>
      <c r="BA5" s="14" t="n"/>
      <c r="BB5" s="14" t="n"/>
      <c r="BC5" s="14" t="n"/>
      <c r="BD5" s="14" t="n"/>
      <c r="BE5" s="14">
        <f>IF(OR(E5="",LEFT(O5,6)="Closed"),"",TODAY()-E5)</f>
        <v/>
      </c>
      <c r="BF5" s="14">
        <f>IF(BE5="","",IF(BE5&lt;=30,"0-30 days",IF(BE5&lt;=60,"31-60 days",IF(BE5&lt;=90,"61-90 days",IF(BE5&lt;=180,"91-180 days","180+ days")))))</f>
        <v/>
      </c>
    </row>
    <row r="6">
      <c r="A6" s="14">
        <f>IF(B6="","","CASE-"&amp;TEXT(ROW()-1,"0000"))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>
        <f>IF(AND(T6="Yes",U6="Yes",V6="Yes"),"Compliant","Non-Compliant")</f>
        <v/>
      </c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>
        <f>IF(E6="","",WEEKNUM(E6))</f>
        <v/>
      </c>
      <c r="AF6" s="14">
        <f>IF(E6="","",MONTH(E6))</f>
        <v/>
      </c>
      <c r="AG6" s="14">
        <f>IF(E6="","",ROUNDUP(MONTH(E6)/3,0))</f>
        <v/>
      </c>
      <c r="AH6" s="14">
        <f>IF(E6="","",YEAR(E6))</f>
        <v/>
      </c>
      <c r="AI6" s="14" t="n"/>
      <c r="AJ6" s="14">
        <f>IF(OR(E6="",AI6=""),"",(E6-AI6)*24)</f>
        <v/>
      </c>
      <c r="AK6" s="14" t="n"/>
      <c r="AL6" s="14" t="n"/>
      <c r="AM6" s="14">
        <f>IFERROR(COUNTIF(tbl_CaseAssignments[LinkedCaseID],A6),0)</f>
        <v/>
      </c>
      <c r="AN6" s="14" t="n"/>
      <c r="AO6" s="14" t="n"/>
      <c r="AP6" s="14" t="n"/>
      <c r="AQ6" s="14">
        <f>IFERROR(COUNTIF(tbl_Statements[LinkedCaseID],A6),0)</f>
        <v/>
      </c>
      <c r="AR6" s="14">
        <f>IFERROR(COUNTIF(tbl_Witnesses[LinkedCaseID],A6),0)</f>
        <v/>
      </c>
      <c r="AS6" s="14">
        <f>IFERROR(COUNTIF(tbl_Exhibits[LinkedCaseID],A6),0)</f>
        <v/>
      </c>
      <c r="AT6" s="16">
        <f>IFERROR(INDEX(tbl_CaseFileChecklist[CompletenessScore],MATCH(A6,tbl_CaseFileChecklist[LinkedCaseID],0)),"—")</f>
        <v/>
      </c>
      <c r="AU6" s="14" t="n"/>
      <c r="AV6" s="14" t="n"/>
      <c r="AW6" s="14" t="n"/>
      <c r="AX6" s="14">
        <f>IF(AI6="","",AI6+2)</f>
        <v/>
      </c>
      <c r="AY6" s="14">
        <f>IF(OR(AW6="",AX6=""),"",IF(AW6&lt;=AX6,"Yes","No"))</f>
        <v/>
      </c>
      <c r="AZ6" s="14" t="n"/>
      <c r="BA6" s="14" t="n"/>
      <c r="BB6" s="14" t="n"/>
      <c r="BC6" s="14" t="n"/>
      <c r="BD6" s="14" t="n"/>
      <c r="BE6" s="14">
        <f>IF(OR(E6="",LEFT(O6,6)="Closed"),"",TODAY()-E6)</f>
        <v/>
      </c>
      <c r="BF6" s="14">
        <f>IF(BE6="","",IF(BE6&lt;=30,"0-30 days",IF(BE6&lt;=60,"31-60 days",IF(BE6&lt;=90,"61-90 days",IF(BE6&lt;=180,"91-180 days","180+ days")))))</f>
        <v/>
      </c>
    </row>
  </sheetData>
  <conditionalFormatting sqref="R2:R1000">
    <cfRule type="expression" priority="1" dxfId="0">
      <formula>=AND(R2&lt;&gt;"",R2&lt;TODAY())</formula>
    </cfRule>
  </conditionalFormatting>
  <conditionalFormatting sqref="AO2:AO1000">
    <cfRule type="expression" priority="2" dxfId="0">
      <formula>=AND(AO2&lt;&gt;"",AO2&lt;TODAY())</formula>
    </cfRule>
  </conditionalFormatting>
  <conditionalFormatting sqref="AV2:AV1000">
    <cfRule type="expression" priority="3" dxfId="0">
      <formula>=AND(AV2&lt;&gt;"",AV2&lt;TODAY())</formula>
    </cfRule>
  </conditionalFormatting>
  <conditionalFormatting sqref="AY2:AY1000">
    <cfRule type="expression" priority="4" dxfId="0">
      <formula>=AY2="No"</formula>
    </cfRule>
  </conditionalFormatting>
  <conditionalFormatting sqref="AT2:AT1000">
    <cfRule type="expression" priority="5" dxfId="0">
      <formula>=AND(AT2&lt;&gt;"",AT2&lt;0.5)</formula>
    </cfRule>
  </conditionalFormatting>
  <conditionalFormatting sqref="BF2:BF1000">
    <cfRule type="expression" priority="6" dxfId="0">
      <formula>=BF2="180+ days"</formula>
    </cfRule>
  </conditionalFormatting>
  <dataValidations count="11">
    <dataValidation sqref="F2:F1000" showDropDown="0" showInputMessage="0" showErrorMessage="0" allowBlank="1" errorTitle="Invalid Entry" error="Please select from the list." type="list">
      <formula1>=Lookups!$C$2:$C$22</formula1>
    </dataValidation>
    <dataValidation sqref="H2:H1000" showDropDown="0" showInputMessage="0" showErrorMessage="0" allowBlank="1" errorTitle="Invalid Entry" error="Please select from the list." type="list">
      <formula1>=Lookups!$D$2:$D$16</formula1>
    </dataValidation>
    <dataValidation sqref="M2:M1000" showDropDown="0" showInputMessage="0" showErrorMessage="0" allowBlank="1" errorTitle="Invalid Entry" error="Please select from the list." type="list">
      <formula1>=Lookups!$E$2:$E$11</formula1>
    </dataValidation>
    <dataValidation sqref="N2:N1000" showDropDown="0" showInputMessage="0" showErrorMessage="0" allowBlank="1" errorTitle="Invalid Entry" error="Please select from the list." type="list">
      <formula1>=Lookups!$B$2:$B$6</formula1>
    </dataValidation>
    <dataValidation sqref="O2:O1000" showDropDown="0" showInputMessage="0" showErrorMessage="0" allowBlank="1" errorTitle="Invalid Entry" error="Please select from the list." type="list">
      <formula1>=Lookups!$A$2:$A$12</formula1>
    </dataValidation>
    <dataValidation sqref="T2:T1000" showDropDown="0" showInputMessage="0" showErrorMessage="0" allowBlank="1" errorTitle="Invalid Entry" error="Please select from the list." type="list">
      <formula1>=Lookups!$I$2:$I$3</formula1>
    </dataValidation>
    <dataValidation sqref="U2:U1000" showDropDown="0" showInputMessage="0" showErrorMessage="0" allowBlank="1" errorTitle="Invalid Entry" error="Please select from the list." type="list">
      <formula1>=Lookups!$I$2:$I$3</formula1>
    </dataValidation>
    <dataValidation sqref="V2:V1000" showDropDown="0" showInputMessage="0" showErrorMessage="0" allowBlank="1" errorTitle="Invalid Entry" error="Please select from the list." type="list">
      <formula1>=Lookups!$I$2:$I$3</formula1>
    </dataValidation>
    <dataValidation sqref="W2:W1000" showDropDown="0" showInputMessage="0" showErrorMessage="0" allowBlank="1" errorTitle="Invalid Entry" error="Please select from the list." type="list">
      <formula1>=Lookups!$I$2:$I$3</formula1>
    </dataValidation>
    <dataValidation sqref="AP2:AP1000" showDropDown="0" showInputMessage="0" showErrorMessage="0" allowBlank="1" errorTitle="Invalid Entry" error="Please select from the list." type="list">
      <formula1>=Lookups!$AN$2:$AN$8</formula1>
    </dataValidation>
    <dataValidation sqref="AZ2:AZ1000" showDropDown="0" showInputMessage="0" showErrorMessage="0" allowBlank="1" errorTitle="Invalid Entry" error="Please select from the list." type="list">
      <formula1>=Lookups!$AP$2:$AP$11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3864"/>
    <outlinePr summaryBelow="1" summaryRight="1"/>
    <pageSetUpPr/>
  </sheetPr>
  <dimension ref="A1:T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30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12" customWidth="1" min="10" max="10"/>
    <col width="24" customWidth="1" min="11" max="11"/>
    <col width="24" customWidth="1" min="12" max="12"/>
    <col width="14" customWidth="1" min="13" max="13"/>
    <col width="14" customWidth="1" min="14" max="14"/>
    <col width="14" customWidth="1" min="15" max="15"/>
    <col width="14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1">
      <c r="A1" s="13" t="inlineStr">
        <is>
          <t>ActionID</t>
        </is>
      </c>
      <c r="B1" s="13" t="inlineStr">
        <is>
          <t>CaseID</t>
        </is>
      </c>
      <c r="C1" s="13" t="inlineStr">
        <is>
          <t>ActionType</t>
        </is>
      </c>
      <c r="D1" s="13" t="inlineStr">
        <is>
          <t>Description</t>
        </is>
      </c>
      <c r="E1" s="13" t="inlineStr">
        <is>
          <t>AssignedTo</t>
        </is>
      </c>
      <c r="F1" s="13" t="inlineStr">
        <is>
          <t>Unit</t>
        </is>
      </c>
      <c r="G1" s="13" t="inlineStr">
        <is>
          <t>DueDate</t>
        </is>
      </c>
      <c r="H1" s="13" t="inlineStr">
        <is>
          <t>CompletedDate</t>
        </is>
      </c>
      <c r="I1" s="13" t="inlineStr">
        <is>
          <t>Status</t>
        </is>
      </c>
      <c r="J1" s="13" t="inlineStr">
        <is>
          <t>Priority</t>
        </is>
      </c>
      <c r="K1" s="13" t="inlineStr">
        <is>
          <t>Outcome</t>
        </is>
      </c>
      <c r="L1" s="13" t="inlineStr">
        <is>
          <t>Notes</t>
        </is>
      </c>
      <c r="M1" s="13" t="inlineStr">
        <is>
          <t>CreatedBy</t>
        </is>
      </c>
      <c r="N1" s="13" t="inlineStr">
        <is>
          <t>CreatedDate</t>
        </is>
      </c>
      <c r="O1" s="13" t="inlineStr">
        <is>
          <t>LastUpdatedBy</t>
        </is>
      </c>
      <c r="P1" s="13" t="inlineStr">
        <is>
          <t>LastUpdatedDate</t>
        </is>
      </c>
      <c r="Q1" s="13" t="inlineStr">
        <is>
          <t>Week</t>
        </is>
      </c>
      <c r="R1" s="13" t="inlineStr">
        <is>
          <t>Month</t>
        </is>
      </c>
      <c r="S1" s="13" t="inlineStr">
        <is>
          <t>Quarter</t>
        </is>
      </c>
      <c r="T1" s="13" t="inlineStr">
        <is>
          <t>Year</t>
        </is>
      </c>
    </row>
    <row r="2">
      <c r="A2" s="14">
        <f>IF(B2="","","ACT-"&amp;TEXT(ROW()-1,"0000"))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>
        <f>IF(G2="","",WEEKNUM(G2))</f>
        <v/>
      </c>
      <c r="R2" s="14">
        <f>IF(G2="","",MONTH(G2))</f>
        <v/>
      </c>
      <c r="S2" s="14">
        <f>IF(G2="","",ROUNDUP(MONTH(G2)/3,0))</f>
        <v/>
      </c>
      <c r="T2" s="14">
        <f>IF(G2="","",YEAR(G2))</f>
        <v/>
      </c>
    </row>
    <row r="3">
      <c r="A3" s="14">
        <f>IF(B3="","","ACT-"&amp;TEXT(ROW()-1,"0000"))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>
        <f>IF(G3="","",WEEKNUM(G3))</f>
        <v/>
      </c>
      <c r="R3" s="14">
        <f>IF(G3="","",MONTH(G3))</f>
        <v/>
      </c>
      <c r="S3" s="14">
        <f>IF(G3="","",ROUNDUP(MONTH(G3)/3,0))</f>
        <v/>
      </c>
      <c r="T3" s="14">
        <f>IF(G3="","",YEAR(G3))</f>
        <v/>
      </c>
    </row>
    <row r="4">
      <c r="A4" s="14">
        <f>IF(B4="","","ACT-"&amp;TEXT(ROW()-1,"0000"))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>
        <f>IF(G4="","",WEEKNUM(G4))</f>
        <v/>
      </c>
      <c r="R4" s="14">
        <f>IF(G4="","",MONTH(G4))</f>
        <v/>
      </c>
      <c r="S4" s="14">
        <f>IF(G4="","",ROUNDUP(MONTH(G4)/3,0))</f>
        <v/>
      </c>
      <c r="T4" s="14">
        <f>IF(G4="","",YEAR(G4))</f>
        <v/>
      </c>
    </row>
    <row r="5">
      <c r="A5" s="14">
        <f>IF(B5="","","ACT-"&amp;TEXT(ROW()-1,"0000"))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>
        <f>IF(G5="","",WEEKNUM(G5))</f>
        <v/>
      </c>
      <c r="R5" s="14">
        <f>IF(G5="","",MONTH(G5))</f>
        <v/>
      </c>
      <c r="S5" s="14">
        <f>IF(G5="","",ROUNDUP(MONTH(G5)/3,0))</f>
        <v/>
      </c>
      <c r="T5" s="14">
        <f>IF(G5="","",YEAR(G5))</f>
        <v/>
      </c>
    </row>
    <row r="6">
      <c r="A6" s="14">
        <f>IF(B6="","","ACT-"&amp;TEXT(ROW()-1,"0000"))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>
        <f>IF(G6="","",WEEKNUM(G6))</f>
        <v/>
      </c>
      <c r="R6" s="14">
        <f>IF(G6="","",MONTH(G6))</f>
        <v/>
      </c>
      <c r="S6" s="14">
        <f>IF(G6="","",ROUNDUP(MONTH(G6)/3,0))</f>
        <v/>
      </c>
      <c r="T6" s="14">
        <f>IF(G6="","",YEAR(G6))</f>
        <v/>
      </c>
    </row>
  </sheetData>
  <conditionalFormatting sqref="G2:G1000">
    <cfRule type="expression" priority="1" dxfId="0">
      <formula>=AND(G2&lt;&gt;"",G2&lt;TODAY(),H2="")</formula>
    </cfRule>
  </conditionalFormatting>
  <dataValidations count="3">
    <dataValidation sqref="C2:C1000" showDropDown="0" showInputMessage="0" showErrorMessage="0" allowBlank="1" errorTitle="Invalid Entry" error="Please select from the list." type="list">
      <formula1>=Lookups!$V$2:$V$13</formula1>
    </dataValidation>
    <dataValidation sqref="I2:I1000" showDropDown="0" showInputMessage="0" showErrorMessage="0" allowBlank="1" errorTitle="Invalid Entry" error="Please select from the list." type="list">
      <formula1>=Lookups!$U$2:$U$7</formula1>
    </dataValidation>
    <dataValidation sqref="F2:F1000" showDropDown="0" showInputMessage="0" showErrorMessage="0" allowBlank="1" errorTitle="Invalid Entry" error="Please select from the list." type="list">
      <formula1>=Lookups!$E$2:$E$11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8" customWidth="1" min="4" max="4"/>
    <col width="14" customWidth="1" min="5" max="5"/>
    <col width="14" customWidth="1" min="6" max="6"/>
    <col width="30" customWidth="1" min="7" max="7"/>
    <col width="30" customWidth="1" min="8" max="8"/>
    <col width="14" customWidth="1" min="9" max="9"/>
    <col width="16" customWidth="1" min="10" max="10"/>
    <col width="14" customWidth="1" min="11" max="11"/>
    <col width="14" customWidth="1" min="12" max="12"/>
    <col width="14" customWidth="1" min="13" max="13"/>
    <col width="14" customWidth="1" min="14" max="14"/>
    <col width="20" customWidth="1" min="15" max="15"/>
    <col width="16" customWidth="1" min="16" max="16"/>
    <col width="30" customWidth="1" min="17" max="17"/>
    <col width="18" customWidth="1" min="18" max="18"/>
    <col width="14" customWidth="1" min="19" max="19"/>
    <col width="14" customWidth="1" min="20" max="20"/>
    <col width="16" customWidth="1" min="21" max="21"/>
    <col width="14" customWidth="1" min="22" max="22"/>
    <col width="18" customWidth="1" min="23" max="23"/>
    <col width="14" customWidth="1" min="24" max="24"/>
    <col width="16" customWidth="1" min="25" max="25"/>
  </cols>
  <sheetData>
    <row r="1">
      <c r="A1" s="13" t="inlineStr">
        <is>
          <t>ReviewID</t>
        </is>
      </c>
      <c r="B1" s="13" t="inlineStr">
        <is>
          <t>CaseID</t>
        </is>
      </c>
      <c r="C1" s="13" t="inlineStr">
        <is>
          <t>ReviewType</t>
        </is>
      </c>
      <c r="D1" s="13" t="inlineStr">
        <is>
          <t>Reviewer</t>
        </is>
      </c>
      <c r="E1" s="13" t="inlineStr">
        <is>
          <t>ReviewDate</t>
        </is>
      </c>
      <c r="F1" s="13" t="inlineStr">
        <is>
          <t>DueDate</t>
        </is>
      </c>
      <c r="G1" s="13" t="inlineStr">
        <is>
          <t>Findings</t>
        </is>
      </c>
      <c r="H1" s="13" t="inlineStr">
        <is>
          <t>Recommendations</t>
        </is>
      </c>
      <c r="I1" s="13" t="inlineStr">
        <is>
          <t>Status</t>
        </is>
      </c>
      <c r="J1" s="13" t="inlineStr">
        <is>
          <t>ComplianceStatus</t>
        </is>
      </c>
      <c r="K1" s="13" t="inlineStr">
        <is>
          <t>CreatedBy</t>
        </is>
      </c>
      <c r="L1" s="13" t="inlineStr">
        <is>
          <t>CreatedDate</t>
        </is>
      </c>
      <c r="M1" s="13" t="inlineStr">
        <is>
          <t>LastUpdatedBy</t>
        </is>
      </c>
      <c r="N1" s="13" t="inlineStr">
        <is>
          <t>LastUpdatedDate</t>
        </is>
      </c>
      <c r="O1" s="13" t="inlineStr">
        <is>
          <t>MandatoryReviewType</t>
        </is>
      </c>
      <c r="P1" s="13" t="inlineStr">
        <is>
          <t>ReviewInterval_Days</t>
        </is>
      </c>
      <c r="Q1" s="13" t="inlineStr">
        <is>
          <t>DirectivesIssued</t>
        </is>
      </c>
      <c r="R1" s="13" t="inlineStr">
        <is>
          <t>DirectiveAssignedTo</t>
        </is>
      </c>
      <c r="S1" s="13" t="inlineStr">
        <is>
          <t>DirectiveDueDate</t>
        </is>
      </c>
      <c r="T1" s="13" t="inlineStr">
        <is>
          <t>DirectiveStatus</t>
        </is>
      </c>
      <c r="U1" s="13" t="inlineStr">
        <is>
          <t>DirectiveCompletedDate</t>
        </is>
      </c>
      <c r="V1" s="13" t="inlineStr">
        <is>
          <t>EscalationRequired</t>
        </is>
      </c>
      <c r="W1" s="13" t="inlineStr">
        <is>
          <t>EscalatedTo</t>
        </is>
      </c>
      <c r="X1" s="13" t="inlineStr">
        <is>
          <t>NextReviewDue</t>
        </is>
      </c>
      <c r="Y1" s="13" t="inlineStr">
        <is>
          <t>CaseDaysOpenAtReview</t>
        </is>
      </c>
    </row>
    <row r="2">
      <c r="A2" s="14">
        <f>IF(B2="","","REV-"&amp;TEXT(ROW()-1,"0000"))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>
        <f>IF(OR(E2="",P2=""),"",E2+P2)</f>
        <v/>
      </c>
      <c r="Y2" s="14">
        <f>IFERROR(E2-INDEX(tbl_Cases[DateReceived],MATCH(B2,tbl_Cases[CaseID],0)),"")</f>
        <v/>
      </c>
    </row>
    <row r="3">
      <c r="A3" s="14">
        <f>IF(B3="","","REV-"&amp;TEXT(ROW()-1,"0000"))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>
        <f>IF(OR(E3="",P3=""),"",E3+P3)</f>
        <v/>
      </c>
      <c r="Y3" s="14">
        <f>IFERROR(E3-INDEX(tbl_Cases[DateReceived],MATCH(B3,tbl_Cases[CaseID],0)),"")</f>
        <v/>
      </c>
    </row>
    <row r="4">
      <c r="A4" s="14">
        <f>IF(B4="","","REV-"&amp;TEXT(ROW()-1,"0000"))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>
        <f>IF(OR(E4="",P4=""),"",E4+P4)</f>
        <v/>
      </c>
      <c r="Y4" s="14">
        <f>IFERROR(E4-INDEX(tbl_Cases[DateReceived],MATCH(B4,tbl_Cases[CaseID],0)),"")</f>
        <v/>
      </c>
    </row>
    <row r="5">
      <c r="A5" s="14">
        <f>IF(B5="","","REV-"&amp;TEXT(ROW()-1,"0000"))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>
        <f>IF(OR(E5="",P5=""),"",E5+P5)</f>
        <v/>
      </c>
      <c r="Y5" s="14">
        <f>IFERROR(E5-INDEX(tbl_Cases[DateReceived],MATCH(B5,tbl_Cases[CaseID],0)),"")</f>
        <v/>
      </c>
    </row>
    <row r="6">
      <c r="A6" s="14">
        <f>IF(B6="","","REV-"&amp;TEXT(ROW()-1,"0000"))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>
        <f>IF(OR(E6="",P6=""),"",E6+P6)</f>
        <v/>
      </c>
      <c r="Y6" s="14">
        <f>IFERROR(E6-INDEX(tbl_Cases[DateReceived],MATCH(B6,tbl_Cases[CaseID],0)),"")</f>
        <v/>
      </c>
    </row>
  </sheetData>
  <conditionalFormatting sqref="S2:S1000">
    <cfRule type="expression" priority="1" dxfId="0">
      <formula>=AND(S2&lt;&gt;"",S2&lt;TODAY(),T2&lt;&gt;"Completed")</formula>
    </cfRule>
  </conditionalFormatting>
  <conditionalFormatting sqref="X2:X1000">
    <cfRule type="expression" priority="2" dxfId="0">
      <formula>=AND(X2&lt;&gt;"",X2&lt;TODAY())</formula>
    </cfRule>
  </conditionalFormatting>
  <dataValidations count="5">
    <dataValidation sqref="C2:C1000" showDropDown="0" showInputMessage="0" showErrorMessage="0" allowBlank="1" errorTitle="Invalid Entry" error="Please select from the list." type="list">
      <formula1>=Lookups!$W$2:$W$7</formula1>
    </dataValidation>
    <dataValidation sqref="I2:I1000" showDropDown="0" showInputMessage="0" showErrorMessage="0" allowBlank="1" errorTitle="Invalid Entry" error="Please select from the list." type="list">
      <formula1>=Lookups!$U$2:$U$7</formula1>
    </dataValidation>
    <dataValidation sqref="O2:O1000" showDropDown="0" showInputMessage="0" showErrorMessage="0" allowBlank="1" errorTitle="Invalid Entry" error="Please select from the list." type="list">
      <formula1>=Lookups!$AO$2:$AO$9</formula1>
    </dataValidation>
    <dataValidation sqref="T2:T1000" showDropDown="0" showInputMessage="0" showErrorMessage="0" allowBlank="1" errorTitle="Invalid Entry" error="Please select from the list." type="list">
      <formula1>=Lookups!$AL$2:$AL$6</formula1>
    </dataValidation>
    <dataValidation sqref="V2:V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M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2" customWidth="1" min="4" max="4"/>
    <col width="18" customWidth="1" min="5" max="5"/>
    <col width="14" customWidth="1" min="6" max="6"/>
    <col width="40" customWidth="1" min="7" max="7"/>
    <col width="30" customWidth="1" min="8" max="8"/>
    <col width="30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3" t="inlineStr">
        <is>
          <t>DiaryID</t>
        </is>
      </c>
      <c r="B1" s="13" t="inlineStr">
        <is>
          <t>CaseID</t>
        </is>
      </c>
      <c r="C1" s="13" t="inlineStr">
        <is>
          <t>EntryDate</t>
        </is>
      </c>
      <c r="D1" s="13" t="inlineStr">
        <is>
          <t>EntryTime</t>
        </is>
      </c>
      <c r="E1" s="13" t="inlineStr">
        <is>
          <t>EnteredBy</t>
        </is>
      </c>
      <c r="F1" s="13" t="inlineStr">
        <is>
          <t>Unit</t>
        </is>
      </c>
      <c r="G1" s="13" t="inlineStr">
        <is>
          <t>DiaryNarrative</t>
        </is>
      </c>
      <c r="H1" s="13" t="inlineStr">
        <is>
          <t>ActionTaken</t>
        </is>
      </c>
      <c r="I1" s="13" t="inlineStr">
        <is>
          <t>NextSteps</t>
        </is>
      </c>
      <c r="J1" s="13" t="inlineStr">
        <is>
          <t>CreatedBy</t>
        </is>
      </c>
      <c r="K1" s="13" t="inlineStr">
        <is>
          <t>CreatedDate</t>
        </is>
      </c>
      <c r="L1" s="13" t="inlineStr">
        <is>
          <t>LastUpdatedBy</t>
        </is>
      </c>
      <c r="M1" s="13" t="inlineStr">
        <is>
          <t>LastUpdatedDate</t>
        </is>
      </c>
    </row>
    <row r="2">
      <c r="A2" s="14">
        <f>IF(B2="","","DRY-"&amp;TEXT(ROW()-1,"0000"))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3">
      <c r="A3" s="14">
        <f>IF(B3="","","DRY-"&amp;TEXT(ROW()-1,"0000"))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</row>
    <row r="4">
      <c r="A4" s="14">
        <f>IF(B4="","","DRY-"&amp;TEXT(ROW()-1,"0000"))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</row>
    <row r="5">
      <c r="A5" s="14">
        <f>IF(B5="","","DRY-"&amp;TEXT(ROW()-1,"0000"))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</row>
    <row r="6">
      <c r="A6" s="14">
        <f>IF(B6="","","DRY-"&amp;TEXT(ROW()-1,"0000"))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</row>
  </sheetData>
  <dataValidations count="1">
    <dataValidation sqref="F2:F1000" showDropDown="0" showInputMessage="0" showErrorMessage="0" allowBlank="1" errorTitle="Invalid Entry" error="Please select from the list." type="list">
      <formula1>=Lookups!$E$2:$E$11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M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8" customWidth="1" min="4" max="4"/>
    <col width="18" customWidth="1" min="5" max="5"/>
    <col width="12" customWidth="1" min="6" max="6"/>
    <col width="24" customWidth="1" min="7" max="7"/>
    <col width="40" customWidth="1" min="8" max="8"/>
    <col width="2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3" t="inlineStr">
        <is>
          <t>MessageID</t>
        </is>
      </c>
      <c r="B1" s="13" t="inlineStr">
        <is>
          <t>Date</t>
        </is>
      </c>
      <c r="C1" s="13" t="inlineStr">
        <is>
          <t>Time</t>
        </is>
      </c>
      <c r="D1" s="13" t="inlineStr">
        <is>
          <t>From</t>
        </is>
      </c>
      <c r="E1" s="13" t="inlineStr">
        <is>
          <t>To</t>
        </is>
      </c>
      <c r="F1" s="13" t="inlineStr">
        <is>
          <t>Priority</t>
        </is>
      </c>
      <c r="G1" s="13" t="inlineStr">
        <is>
          <t>Subject</t>
        </is>
      </c>
      <c r="H1" s="13" t="inlineStr">
        <is>
          <t>MessageBody</t>
        </is>
      </c>
      <c r="I1" s="13" t="inlineStr">
        <is>
          <t>ActionRequired</t>
        </is>
      </c>
      <c r="J1" s="13" t="inlineStr">
        <is>
          <t>LinkedCaseID</t>
        </is>
      </c>
      <c r="K1" s="13" t="inlineStr">
        <is>
          <t>LinkedLeadID</t>
        </is>
      </c>
      <c r="L1" s="13" t="inlineStr">
        <is>
          <t>CreatedBy</t>
        </is>
      </c>
      <c r="M1" s="13" t="inlineStr">
        <is>
          <t>CreatedDate</t>
        </is>
      </c>
    </row>
    <row r="2">
      <c r="A2" s="14">
        <f>IF(B2="","","MSG-"&amp;TEXT(ROW()-1,"0000"))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</row>
    <row r="3">
      <c r="A3" s="14">
        <f>IF(B3="","","MSG-"&amp;TEXT(ROW()-1,"0000"))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</row>
    <row r="4">
      <c r="A4" s="14">
        <f>IF(B4="","","MSG-"&amp;TEXT(ROW()-1,"0000"))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</row>
    <row r="5">
      <c r="A5" s="14">
        <f>IF(B5="","","MSG-"&amp;TEXT(ROW()-1,"0000"))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</row>
    <row r="6">
      <c r="A6" s="14">
        <f>IF(B6="","","MSG-"&amp;TEXT(ROW()-1,"0000"))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</row>
  </sheetData>
  <dataValidations count="1">
    <dataValidation sqref="F2:F1000" showDropDown="0" showInputMessage="0" showErrorMessage="0" allowBlank="1" errorTitle="Invalid Entry" error="Please select from the list." type="list">
      <formula1>=Lookups!$B$2:$B$6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T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4" customWidth="1" min="4" max="4"/>
    <col width="10" customWidth="1" min="5" max="5"/>
    <col width="28" customWidth="1" min="6" max="6"/>
    <col width="16" customWidth="1" min="7" max="7"/>
    <col width="16" customWidth="1" min="8" max="8"/>
    <col width="14" customWidth="1" min="9" max="9"/>
    <col width="16" customWidth="1" min="10" max="10"/>
    <col width="14" customWidth="1" min="11" max="11"/>
    <col width="14" customWidth="1" min="12" max="12"/>
    <col width="14" customWidth="1" min="13" max="13"/>
    <col width="12" customWidth="1" min="14" max="14"/>
    <col width="24" customWidth="1" min="15" max="15"/>
    <col width="16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>
      <c r="A1" s="13" t="inlineStr">
        <is>
          <t>PersonID</t>
        </is>
      </c>
      <c r="B1" s="13" t="inlineStr">
        <is>
          <t>FullName</t>
        </is>
      </c>
      <c r="C1" s="13" t="inlineStr">
        <is>
          <t>Alias</t>
        </is>
      </c>
      <c r="D1" s="13" t="inlineStr">
        <is>
          <t>DOB</t>
        </is>
      </c>
      <c r="E1" s="13" t="inlineStr">
        <is>
          <t>Gender</t>
        </is>
      </c>
      <c r="F1" s="13" t="inlineStr">
        <is>
          <t>Address</t>
        </is>
      </c>
      <c r="G1" s="13" t="inlineStr">
        <is>
          <t>Parish</t>
        </is>
      </c>
      <c r="H1" s="13" t="inlineStr">
        <is>
          <t>Phone</t>
        </is>
      </c>
      <c r="I1" s="13" t="inlineStr">
        <is>
          <t>ID_Type</t>
        </is>
      </c>
      <c r="J1" s="13" t="inlineStr">
        <is>
          <t>ID_Number</t>
        </is>
      </c>
      <c r="K1" s="13" t="inlineStr">
        <is>
          <t>Role</t>
        </is>
      </c>
      <c r="L1" s="13" t="inlineStr">
        <is>
          <t>LinkedCaseID</t>
        </is>
      </c>
      <c r="M1" s="13" t="inlineStr">
        <is>
          <t>LinkedLeadID</t>
        </is>
      </c>
      <c r="N1" s="13" t="inlineStr">
        <is>
          <t>RiskLevel</t>
        </is>
      </c>
      <c r="O1" s="13" t="inlineStr">
        <is>
          <t>Notes</t>
        </is>
      </c>
      <c r="P1" s="13" t="inlineStr">
        <is>
          <t>PhotoRef</t>
        </is>
      </c>
      <c r="Q1" s="13" t="inlineStr">
        <is>
          <t>CreatedBy</t>
        </is>
      </c>
      <c r="R1" s="13" t="inlineStr">
        <is>
          <t>CreatedDate</t>
        </is>
      </c>
      <c r="S1" s="13" t="inlineStr">
        <is>
          <t>LastUpdatedBy</t>
        </is>
      </c>
      <c r="T1" s="13" t="inlineStr">
        <is>
          <t>LastUpdatedDate</t>
        </is>
      </c>
    </row>
    <row r="2">
      <c r="A2" s="14">
        <f>IF(B2="","","PER-"&amp;TEXT(ROW()-1,"0000"))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</row>
    <row r="3">
      <c r="A3" s="14">
        <f>IF(B3="","","PER-"&amp;TEXT(ROW()-1,"0000"))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</row>
    <row r="4">
      <c r="A4" s="14">
        <f>IF(B4="","","PER-"&amp;TEXT(ROW()-1,"0000"))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</row>
    <row r="5">
      <c r="A5" s="14">
        <f>IF(B5="","","PER-"&amp;TEXT(ROW()-1,"0000"))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</row>
    <row r="6">
      <c r="A6" s="14">
        <f>IF(B6="","","PER-"&amp;TEXT(ROW()-1,"0000"))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</row>
  </sheetData>
  <dataValidations count="1">
    <dataValidation sqref="G2:G1000" showDropDown="0" showInputMessage="0" showErrorMessage="0" allowBlank="1" errorTitle="Invalid Entry" error="Please select from the list." type="list">
      <formula1>=Lookups!$D$2:$D$16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V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6" customWidth="1" min="4" max="4"/>
    <col width="14" customWidth="1" min="5" max="5"/>
    <col width="28" customWidth="1" min="6" max="6"/>
    <col width="20" customWidth="1" min="7" max="7"/>
    <col width="24" customWidth="1" min="8" max="8"/>
    <col width="20" customWidth="1" min="9" max="9"/>
    <col width="36" customWidth="1" min="10" max="10"/>
    <col width="14" customWidth="1" min="11" max="11"/>
    <col width="12" customWidth="1" min="12" max="12"/>
    <col width="14" customWidth="1" min="13" max="13"/>
    <col width="14" customWidth="1" min="14" max="14"/>
    <col width="14" customWidth="1" min="15" max="15"/>
    <col width="24" customWidth="1" min="16" max="16"/>
    <col width="14" customWidth="1" min="17" max="17"/>
    <col width="14" customWidth="1" min="18" max="18"/>
    <col width="8" customWidth="1" min="19" max="19"/>
    <col width="8" customWidth="1" min="20" max="20"/>
    <col width="8" customWidth="1" min="21" max="21"/>
    <col width="8" customWidth="1" min="22" max="22"/>
  </cols>
  <sheetData>
    <row r="1">
      <c r="A1" s="13" t="inlineStr">
        <is>
          <t>MCR_ID</t>
        </is>
      </c>
      <c r="B1" s="13" t="inlineStr">
        <is>
          <t>MCR_Date</t>
        </is>
      </c>
      <c r="C1" s="13" t="inlineStr">
        <is>
          <t>ReportingStation</t>
        </is>
      </c>
      <c r="D1" s="13" t="inlineStr">
        <is>
          <t>Parish</t>
        </is>
      </c>
      <c r="E1" s="13" t="inlineStr">
        <is>
          <t>OffenceCode</t>
        </is>
      </c>
      <c r="F1" s="13" t="inlineStr">
        <is>
          <t>OffenceDescription</t>
        </is>
      </c>
      <c r="G1" s="13" t="inlineStr">
        <is>
          <t>Complainant</t>
        </is>
      </c>
      <c r="H1" s="13" t="inlineStr">
        <is>
          <t>Location</t>
        </is>
      </c>
      <c r="I1" s="13" t="inlineStr">
        <is>
          <t>Suspect</t>
        </is>
      </c>
      <c r="J1" s="13" t="inlineStr">
        <is>
          <t>Summary</t>
        </is>
      </c>
      <c r="K1" s="13" t="inlineStr">
        <is>
          <t>FNID_Relevant</t>
        </is>
      </c>
      <c r="L1" s="13" t="inlineStr">
        <is>
          <t>AutoRouted</t>
        </is>
      </c>
      <c r="M1" s="13" t="inlineStr">
        <is>
          <t>RoutedDate</t>
        </is>
      </c>
      <c r="N1" s="13" t="inlineStr">
        <is>
          <t>TriageStatus</t>
        </is>
      </c>
      <c r="O1" s="13" t="inlineStr">
        <is>
          <t>LinkedLeadID</t>
        </is>
      </c>
      <c r="P1" s="13" t="inlineStr">
        <is>
          <t>Notes</t>
        </is>
      </c>
      <c r="Q1" s="13" t="inlineStr">
        <is>
          <t>CreatedBy</t>
        </is>
      </c>
      <c r="R1" s="13" t="inlineStr">
        <is>
          <t>CreatedDate</t>
        </is>
      </c>
      <c r="S1" s="13" t="inlineStr">
        <is>
          <t>Week</t>
        </is>
      </c>
      <c r="T1" s="13" t="inlineStr">
        <is>
          <t>Month</t>
        </is>
      </c>
      <c r="U1" s="13" t="inlineStr">
        <is>
          <t>Quarter</t>
        </is>
      </c>
      <c r="V1" s="13" t="inlineStr">
        <is>
          <t>Year</t>
        </is>
      </c>
    </row>
    <row r="2">
      <c r="A2" s="14">
        <f>IF(B2="","","MCR-"&amp;TEXT(ROW()-1,"0000"))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>
        <f>IFERROR(VLOOKUP(E2,tbl_OffenceClassMap[#All],4,FALSE),"No")</f>
        <v/>
      </c>
      <c r="L2" s="14">
        <f>IFERROR(VLOOKUP(E2,tbl_OffenceClassMap[#All],5,FALSE),"No")</f>
        <v/>
      </c>
      <c r="M2" s="14" t="n"/>
      <c r="N2" s="14" t="n"/>
      <c r="O2" s="14" t="n"/>
      <c r="P2" s="14" t="n"/>
      <c r="Q2" s="14" t="n"/>
      <c r="R2" s="14" t="n"/>
      <c r="S2" s="14">
        <f>IF(B2="","",WEEKNUM(B2))</f>
        <v/>
      </c>
      <c r="T2" s="14">
        <f>IF(B2="","",MONTH(B2))</f>
        <v/>
      </c>
      <c r="U2" s="14">
        <f>IF(B2="","",ROUNDUP(MONTH(B2)/3,0))</f>
        <v/>
      </c>
      <c r="V2" s="14">
        <f>IF(B2="","",YEAR(B2))</f>
        <v/>
      </c>
    </row>
    <row r="3">
      <c r="A3" s="14">
        <f>IF(B3="","","MCR-"&amp;TEXT(ROW()-1,"0000"))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>
        <f>IFERROR(VLOOKUP(E3,tbl_OffenceClassMap[#All],4,FALSE),"No")</f>
        <v/>
      </c>
      <c r="L3" s="14">
        <f>IFERROR(VLOOKUP(E3,tbl_OffenceClassMap[#All],5,FALSE),"No")</f>
        <v/>
      </c>
      <c r="M3" s="14" t="n"/>
      <c r="N3" s="14" t="n"/>
      <c r="O3" s="14" t="n"/>
      <c r="P3" s="14" t="n"/>
      <c r="Q3" s="14" t="n"/>
      <c r="R3" s="14" t="n"/>
      <c r="S3" s="14">
        <f>IF(B3="","",WEEKNUM(B3))</f>
        <v/>
      </c>
      <c r="T3" s="14">
        <f>IF(B3="","",MONTH(B3))</f>
        <v/>
      </c>
      <c r="U3" s="14">
        <f>IF(B3="","",ROUNDUP(MONTH(B3)/3,0))</f>
        <v/>
      </c>
      <c r="V3" s="14">
        <f>IF(B3="","",YEAR(B3))</f>
        <v/>
      </c>
    </row>
    <row r="4">
      <c r="A4" s="14">
        <f>IF(B4="","","MCR-"&amp;TEXT(ROW()-1,"0000"))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>
        <f>IFERROR(VLOOKUP(E4,tbl_OffenceClassMap[#All],4,FALSE),"No")</f>
        <v/>
      </c>
      <c r="L4" s="14">
        <f>IFERROR(VLOOKUP(E4,tbl_OffenceClassMap[#All],5,FALSE),"No")</f>
        <v/>
      </c>
      <c r="M4" s="14" t="n"/>
      <c r="N4" s="14" t="n"/>
      <c r="O4" s="14" t="n"/>
      <c r="P4" s="14" t="n"/>
      <c r="Q4" s="14" t="n"/>
      <c r="R4" s="14" t="n"/>
      <c r="S4" s="14">
        <f>IF(B4="","",WEEKNUM(B4))</f>
        <v/>
      </c>
      <c r="T4" s="14">
        <f>IF(B4="","",MONTH(B4))</f>
        <v/>
      </c>
      <c r="U4" s="14">
        <f>IF(B4="","",ROUNDUP(MONTH(B4)/3,0))</f>
        <v/>
      </c>
      <c r="V4" s="14">
        <f>IF(B4="","",YEAR(B4))</f>
        <v/>
      </c>
    </row>
    <row r="5">
      <c r="A5" s="14">
        <f>IF(B5="","","MCR-"&amp;TEXT(ROW()-1,"0000"))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IFERROR(VLOOKUP(E5,tbl_OffenceClassMap[#All],4,FALSE),"No")</f>
        <v/>
      </c>
      <c r="L5" s="14">
        <f>IFERROR(VLOOKUP(E5,tbl_OffenceClassMap[#All],5,FALSE),"No")</f>
        <v/>
      </c>
      <c r="M5" s="14" t="n"/>
      <c r="N5" s="14" t="n"/>
      <c r="O5" s="14" t="n"/>
      <c r="P5" s="14" t="n"/>
      <c r="Q5" s="14" t="n"/>
      <c r="R5" s="14" t="n"/>
      <c r="S5" s="14">
        <f>IF(B5="","",WEEKNUM(B5))</f>
        <v/>
      </c>
      <c r="T5" s="14">
        <f>IF(B5="","",MONTH(B5))</f>
        <v/>
      </c>
      <c r="U5" s="14">
        <f>IF(B5="","",ROUNDUP(MONTH(B5)/3,0))</f>
        <v/>
      </c>
      <c r="V5" s="14">
        <f>IF(B5="","",YEAR(B5))</f>
        <v/>
      </c>
    </row>
    <row r="6">
      <c r="A6" s="14">
        <f>IF(B6="","","MCR-"&amp;TEXT(ROW()-1,"0000"))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>
        <f>IFERROR(VLOOKUP(E6,tbl_OffenceClassMap[#All],4,FALSE),"No")</f>
        <v/>
      </c>
      <c r="L6" s="14">
        <f>IFERROR(VLOOKUP(E6,tbl_OffenceClassMap[#All],5,FALSE),"No")</f>
        <v/>
      </c>
      <c r="M6" s="14" t="n"/>
      <c r="N6" s="14" t="n"/>
      <c r="O6" s="14" t="n"/>
      <c r="P6" s="14" t="n"/>
      <c r="Q6" s="14" t="n"/>
      <c r="R6" s="14" t="n"/>
      <c r="S6" s="14">
        <f>IF(B6="","",WEEKNUM(B6))</f>
        <v/>
      </c>
      <c r="T6" s="14">
        <f>IF(B6="","",MONTH(B6))</f>
        <v/>
      </c>
      <c r="U6" s="14">
        <f>IF(B6="","",ROUNDUP(MONTH(B6)/3,0))</f>
        <v/>
      </c>
      <c r="V6" s="14">
        <f>IF(B6="","",YEAR(B6))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BF8F00"/>
    <outlinePr summaryBelow="1" summaryRight="1"/>
    <pageSetUpPr/>
  </sheetPr>
  <dimension ref="A1:AE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16" customWidth="1" min="5" max="5"/>
    <col width="16" customWidth="1" min="6" max="6"/>
    <col width="24" customWidth="1" min="7" max="7"/>
    <col width="36" customWidth="1" min="8" max="8"/>
    <col width="18" customWidth="1" min="9" max="9"/>
    <col width="12" customWidth="1" min="10" max="10"/>
    <col width="12" customWidth="1" min="11" max="11"/>
    <col width="20" customWidth="1" min="12" max="12"/>
    <col width="14" customWidth="1" min="13" max="13"/>
    <col width="18" customWidth="1" min="14" max="14"/>
    <col width="14" customWidth="1" min="15" max="15"/>
    <col width="18" customWidth="1" min="16" max="16"/>
    <col width="14" customWidth="1" min="17" max="17"/>
    <col width="16" customWidth="1" min="18" max="18"/>
    <col width="16" customWidth="1" min="19" max="19"/>
    <col width="14" customWidth="1" min="20" max="20"/>
    <col width="14" customWidth="1" min="21" max="21"/>
    <col width="12" customWidth="1" min="22" max="22"/>
    <col width="24" customWidth="1" min="23" max="23"/>
    <col width="14" customWidth="1" min="24" max="24"/>
    <col width="14" customWidth="1" min="25" max="25"/>
    <col width="14" customWidth="1" min="26" max="26"/>
    <col width="14" customWidth="1" min="27" max="27"/>
    <col width="8" customWidth="1" min="28" max="28"/>
    <col width="8" customWidth="1" min="29" max="29"/>
    <col width="8" customWidth="1" min="30" max="30"/>
    <col width="8" customWidth="1" min="31" max="31"/>
  </cols>
  <sheetData>
    <row r="1">
      <c r="A1" s="13" t="inlineStr">
        <is>
          <t>LeadID</t>
        </is>
      </c>
      <c r="B1" s="13" t="inlineStr">
        <is>
          <t>DateReceived</t>
        </is>
      </c>
      <c r="C1" s="13" t="inlineStr">
        <is>
          <t>Source</t>
        </is>
      </c>
      <c r="D1" s="13" t="inlineStr">
        <is>
          <t>SourceDetail</t>
        </is>
      </c>
      <c r="E1" s="13" t="inlineStr">
        <is>
          <t>Parish</t>
        </is>
      </c>
      <c r="F1" s="13" t="inlineStr">
        <is>
          <t>Station</t>
        </is>
      </c>
      <c r="G1" s="13" t="inlineStr">
        <is>
          <t>Subject</t>
        </is>
      </c>
      <c r="H1" s="13" t="inlineStr">
        <is>
          <t>Summary</t>
        </is>
      </c>
      <c r="I1" s="13" t="inlineStr">
        <is>
          <t>Credibility</t>
        </is>
      </c>
      <c r="J1" s="13" t="inlineStr">
        <is>
          <t>Priority</t>
        </is>
      </c>
      <c r="K1" s="13" t="inlineStr">
        <is>
          <t>RiskScore</t>
        </is>
      </c>
      <c r="L1" s="13" t="inlineStr">
        <is>
          <t>TriageDecision</t>
        </is>
      </c>
      <c r="M1" s="13" t="inlineStr">
        <is>
          <t>TriageDate</t>
        </is>
      </c>
      <c r="N1" s="13" t="inlineStr">
        <is>
          <t>AssignedTo</t>
        </is>
      </c>
      <c r="O1" s="13" t="inlineStr">
        <is>
          <t>Unit</t>
        </is>
      </c>
      <c r="P1" s="13" t="inlineStr">
        <is>
          <t>Outcome</t>
        </is>
      </c>
      <c r="Q1" s="13" t="inlineStr">
        <is>
          <t>OutcomeDate</t>
        </is>
      </c>
      <c r="R1" s="13" t="inlineStr">
        <is>
          <t>ConvertedToCaseID</t>
        </is>
      </c>
      <c r="S1" s="13" t="inlineStr">
        <is>
          <t>ConvertedToOpsID</t>
        </is>
      </c>
      <c r="T1" s="13" t="inlineStr">
        <is>
          <t>FollowUpRequired</t>
        </is>
      </c>
      <c r="U1" s="13" t="inlineStr">
        <is>
          <t>FollowUpDueDate</t>
        </is>
      </c>
      <c r="V1" s="13" t="inlineStr">
        <is>
          <t>FCSI_Flag</t>
        </is>
      </c>
      <c r="W1" s="13" t="inlineStr">
        <is>
          <t>Notes</t>
        </is>
      </c>
      <c r="X1" s="13" t="inlineStr">
        <is>
          <t>CreatedBy</t>
        </is>
      </c>
      <c r="Y1" s="13" t="inlineStr">
        <is>
          <t>CreatedDate</t>
        </is>
      </c>
      <c r="Z1" s="13" t="inlineStr">
        <is>
          <t>LastUpdatedBy</t>
        </is>
      </c>
      <c r="AA1" s="13" t="inlineStr">
        <is>
          <t>LastUpdatedDate</t>
        </is>
      </c>
      <c r="AB1" s="13" t="inlineStr">
        <is>
          <t>Week</t>
        </is>
      </c>
      <c r="AC1" s="13" t="inlineStr">
        <is>
          <t>Month</t>
        </is>
      </c>
      <c r="AD1" s="13" t="inlineStr">
        <is>
          <t>Quarter</t>
        </is>
      </c>
      <c r="AE1" s="13" t="inlineStr">
        <is>
          <t>Year</t>
        </is>
      </c>
    </row>
    <row r="2">
      <c r="A2" s="14">
        <f>IF(B2="","","LEAD-"&amp;TEXT(ROW()-1,"0000"))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>
        <f>IFERROR(IF(OR(I2="",J2=""),"",IF(J2="Critical",4,IF(J2="High",3,IF(J2="Medium",2,1)))*IF(LEFT(I2,1)="A",5,IF(LEFT(I2,1)="B",4,IF(LEFT(I2,1)="C",3,IF(LEFT(I2,1)="D",2,1))))),"")</f>
        <v/>
      </c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>
        <f>IF(B2="","",WEEKNUM(B2))</f>
        <v/>
      </c>
      <c r="AC2" s="14">
        <f>IF(B2="","",MONTH(B2))</f>
        <v/>
      </c>
      <c r="AD2" s="14">
        <f>IF(B2="","",ROUNDUP(MONTH(B2)/3,0))</f>
        <v/>
      </c>
      <c r="AE2" s="14">
        <f>IF(B2="","",YEAR(B2))</f>
        <v/>
      </c>
    </row>
    <row r="3">
      <c r="A3" s="14">
        <f>IF(B3="","","LEAD-"&amp;TEXT(ROW()-1,"0000"))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>
        <f>IFERROR(IF(OR(I3="",J3=""),"",IF(J3="Critical",4,IF(J3="High",3,IF(J3="Medium",2,1)))*IF(LEFT(I3,1)="A",5,IF(LEFT(I3,1)="B",4,IF(LEFT(I3,1)="C",3,IF(LEFT(I3,1)="D",2,1))))),"")</f>
        <v/>
      </c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>
        <f>IF(B3="","",WEEKNUM(B3))</f>
        <v/>
      </c>
      <c r="AC3" s="14">
        <f>IF(B3="","",MONTH(B3))</f>
        <v/>
      </c>
      <c r="AD3" s="14">
        <f>IF(B3="","",ROUNDUP(MONTH(B3)/3,0))</f>
        <v/>
      </c>
      <c r="AE3" s="14">
        <f>IF(B3="","",YEAR(B3))</f>
        <v/>
      </c>
    </row>
    <row r="4">
      <c r="A4" s="14">
        <f>IF(B4="","","LEAD-"&amp;TEXT(ROW()-1,"0000"))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>
        <f>IFERROR(IF(OR(I4="",J4=""),"",IF(J4="Critical",4,IF(J4="High",3,IF(J4="Medium",2,1)))*IF(LEFT(I4,1)="A",5,IF(LEFT(I4,1)="B",4,IF(LEFT(I4,1)="C",3,IF(LEFT(I4,1)="D",2,1))))),"")</f>
        <v/>
      </c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>
        <f>IF(B4="","",WEEKNUM(B4))</f>
        <v/>
      </c>
      <c r="AC4" s="14">
        <f>IF(B4="","",MONTH(B4))</f>
        <v/>
      </c>
      <c r="AD4" s="14">
        <f>IF(B4="","",ROUNDUP(MONTH(B4)/3,0))</f>
        <v/>
      </c>
      <c r="AE4" s="14">
        <f>IF(B4="","",YEAR(B4))</f>
        <v/>
      </c>
    </row>
    <row r="5">
      <c r="A5" s="14">
        <f>IF(B5="","","LEAD-"&amp;TEXT(ROW()-1,"0000"))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IFERROR(IF(OR(I5="",J5=""),"",IF(J5="Critical",4,IF(J5="High",3,IF(J5="Medium",2,1)))*IF(LEFT(I5,1)="A",5,IF(LEFT(I5,1)="B",4,IF(LEFT(I5,1)="C",3,IF(LEFT(I5,1)="D",2,1))))),"")</f>
        <v/>
      </c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>
        <f>IF(B5="","",WEEKNUM(B5))</f>
        <v/>
      </c>
      <c r="AC5" s="14">
        <f>IF(B5="","",MONTH(B5))</f>
        <v/>
      </c>
      <c r="AD5" s="14">
        <f>IF(B5="","",ROUNDUP(MONTH(B5)/3,0))</f>
        <v/>
      </c>
      <c r="AE5" s="14">
        <f>IF(B5="","",YEAR(B5))</f>
        <v/>
      </c>
    </row>
    <row r="6">
      <c r="A6" s="14">
        <f>IF(B6="","","LEAD-"&amp;TEXT(ROW()-1,"0000"))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>
        <f>IFERROR(IF(OR(I6="",J6=""),"",IF(J6="Critical",4,IF(J6="High",3,IF(J6="Medium",2,1)))*IF(LEFT(I6,1)="A",5,IF(LEFT(I6,1)="B",4,IF(LEFT(I6,1)="C",3,IF(LEFT(I6,1)="D",2,1))))),"")</f>
        <v/>
      </c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>
        <f>IF(B6="","",WEEKNUM(B6))</f>
        <v/>
      </c>
      <c r="AC6" s="14">
        <f>IF(B6="","",MONTH(B6))</f>
        <v/>
      </c>
      <c r="AD6" s="14">
        <f>IF(B6="","",ROUNDUP(MONTH(B6)/3,0))</f>
        <v/>
      </c>
      <c r="AE6" s="14">
        <f>IF(B6="","",YEAR(B6))</f>
        <v/>
      </c>
    </row>
  </sheetData>
  <conditionalFormatting sqref="K2:K1000">
    <cfRule type="cellIs" priority="1" operator="greaterThanOrEqual" dxfId="0">
      <formula>15</formula>
    </cfRule>
    <cfRule type="cellIs" priority="2" operator="between" dxfId="1">
      <formula>8</formula>
      <formula>14</formula>
    </cfRule>
  </conditionalFormatting>
  <conditionalFormatting sqref="U2:U1000">
    <cfRule type="expression" priority="3" dxfId="0">
      <formula>=AND(U2&lt;&gt;"",U2&lt;TODAY(),T2="Yes")</formula>
    </cfRule>
  </conditionalFormatting>
  <dataValidations count="8">
    <dataValidation sqref="C2:C1000" showDropDown="0" showInputMessage="0" showErrorMessage="0" allowBlank="1" errorTitle="Invalid Entry" error="Please select from the list." type="list">
      <formula1>=Lookups!$F$2:$F$9</formula1>
    </dataValidation>
    <dataValidation sqref="E2:E1000" showDropDown="0" showInputMessage="0" showErrorMessage="0" allowBlank="1" errorTitle="Invalid Entry" error="Please select from the list." type="list">
      <formula1>=Lookups!$D$2:$D$16</formula1>
    </dataValidation>
    <dataValidation sqref="I2:I1000" showDropDown="0" showInputMessage="0" showErrorMessage="0" allowBlank="1" errorTitle="Invalid Entry" error="Please select from the list." type="list">
      <formula1>=Lookups!$J$2:$J$7</formula1>
    </dataValidation>
    <dataValidation sqref="J2:J1000" showDropDown="0" showInputMessage="0" showErrorMessage="0" allowBlank="1" errorTitle="Invalid Entry" error="Please select from the list." type="list">
      <formula1>=Lookups!$B$2:$B$6</formula1>
    </dataValidation>
    <dataValidation sqref="L2:L1000" showDropDown="0" showInputMessage="0" showErrorMessage="0" allowBlank="1" errorTitle="Invalid Entry" error="Please select from the list." type="list">
      <formula1>=Lookups!$G$2:$G$6</formula1>
    </dataValidation>
    <dataValidation sqref="O2:O1000" showDropDown="0" showInputMessage="0" showErrorMessage="0" allowBlank="1" errorTitle="Invalid Entry" error="Please select from the list." type="list">
      <formula1>=Lookups!$E$2:$E$11</formula1>
    </dataValidation>
    <dataValidation sqref="P2:P1000" showDropDown="0" showInputMessage="0" showErrorMessage="0" allowBlank="1" errorTitle="Invalid Entry" error="Please select from the list." type="list">
      <formula1>=Lookups!$S$2:$S$6</formula1>
    </dataValidation>
    <dataValidation sqref="V2:V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BF8F00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6" customWidth="1" min="4" max="4"/>
    <col width="36" customWidth="1" min="5" max="5"/>
    <col width="12" customWidth="1" min="6" max="6"/>
    <col width="18" customWidth="1" min="7" max="7"/>
    <col width="14" customWidth="1" min="8" max="8"/>
    <col width="14" customWidth="1" min="9" max="9"/>
    <col width="24" customWidth="1" min="10" max="10"/>
    <col width="2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s="13" t="inlineStr">
        <is>
          <t>RecID</t>
        </is>
      </c>
      <c r="B1" s="13" t="inlineStr">
        <is>
          <t>LeadID</t>
        </is>
      </c>
      <c r="C1" s="13" t="inlineStr">
        <is>
          <t>RecommendedBy</t>
        </is>
      </c>
      <c r="D1" s="13" t="inlineStr">
        <is>
          <t>RecommendationDate</t>
        </is>
      </c>
      <c r="E1" s="13" t="inlineStr">
        <is>
          <t>Recommendation</t>
        </is>
      </c>
      <c r="F1" s="13" t="inlineStr">
        <is>
          <t>Priority</t>
        </is>
      </c>
      <c r="G1" s="13" t="inlineStr">
        <is>
          <t>AssignedTo</t>
        </is>
      </c>
      <c r="H1" s="13" t="inlineStr">
        <is>
          <t>DueDate</t>
        </is>
      </c>
      <c r="I1" s="13" t="inlineStr">
        <is>
          <t>Status</t>
        </is>
      </c>
      <c r="J1" s="13" t="inlineStr">
        <is>
          <t>Outcome</t>
        </is>
      </c>
      <c r="K1" s="13" t="inlineStr">
        <is>
          <t>Notes</t>
        </is>
      </c>
      <c r="L1" s="13" t="inlineStr">
        <is>
          <t>CreatedBy</t>
        </is>
      </c>
      <c r="M1" s="13" t="inlineStr">
        <is>
          <t>CreatedDate</t>
        </is>
      </c>
      <c r="N1" s="13" t="inlineStr">
        <is>
          <t>LastUpdatedBy</t>
        </is>
      </c>
      <c r="O1" s="13" t="inlineStr">
        <is>
          <t>LastUpdatedDate</t>
        </is>
      </c>
    </row>
    <row r="2">
      <c r="A2" s="14">
        <f>IF(B2="","","REC-"&amp;TEXT(ROW()-1,"0000"))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</row>
    <row r="3">
      <c r="A3" s="14">
        <f>IF(B3="","","REC-"&amp;TEXT(ROW()-1,"0000"))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</row>
    <row r="4">
      <c r="A4" s="14">
        <f>IF(B4="","","REC-"&amp;TEXT(ROW()-1,"0000"))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</row>
    <row r="5">
      <c r="A5" s="14">
        <f>IF(B5="","","REC-"&amp;TEXT(ROW()-1,"0000"))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</row>
    <row r="6">
      <c r="A6" s="14">
        <f>IF(B6="","","REC-"&amp;TEXT(ROW()-1,"0000"))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BF8F00"/>
    <outlinePr summaryBelow="1" summaryRight="1"/>
    <pageSetUpPr/>
  </sheetPr>
  <dimension ref="A1:P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8" customWidth="1" min="4" max="4"/>
    <col width="20" customWidth="1" min="5" max="5"/>
    <col width="24" customWidth="1" min="6" max="6"/>
    <col width="36" customWidth="1" min="7" max="7"/>
    <col width="30" customWidth="1" min="8" max="8"/>
    <col width="18" customWidth="1" min="9" max="9"/>
    <col width="18" customWidth="1" min="10" max="10"/>
    <col width="14" customWidth="1" min="11" max="11"/>
    <col width="2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13" t="inlineStr">
        <is>
          <t>BriefingID</t>
        </is>
      </c>
      <c r="B1" s="13" t="inlineStr">
        <is>
          <t>BriefingDate</t>
        </is>
      </c>
      <c r="C1" s="13" t="inlineStr">
        <is>
          <t>BriefingTime</t>
        </is>
      </c>
      <c r="D1" s="13" t="inlineStr">
        <is>
          <t>Presenter</t>
        </is>
      </c>
      <c r="E1" s="13" t="inlineStr">
        <is>
          <t>Audience</t>
        </is>
      </c>
      <c r="F1" s="13" t="inlineStr">
        <is>
          <t>Topic</t>
        </is>
      </c>
      <c r="G1" s="13" t="inlineStr">
        <is>
          <t>KeyFindings</t>
        </is>
      </c>
      <c r="H1" s="13" t="inlineStr">
        <is>
          <t>ActionItems</t>
        </is>
      </c>
      <c r="I1" s="13" t="inlineStr">
        <is>
          <t>LinkedLeadIDs</t>
        </is>
      </c>
      <c r="J1" s="13" t="inlineStr">
        <is>
          <t>LinkedCaseIDs</t>
        </is>
      </c>
      <c r="K1" s="13" t="inlineStr">
        <is>
          <t>AttendeeCount</t>
        </is>
      </c>
      <c r="L1" s="13" t="inlineStr">
        <is>
          <t>Notes</t>
        </is>
      </c>
      <c r="M1" s="13" t="inlineStr">
        <is>
          <t>CreatedBy</t>
        </is>
      </c>
      <c r="N1" s="13" t="inlineStr">
        <is>
          <t>CreatedDate</t>
        </is>
      </c>
      <c r="O1" s="13" t="inlineStr">
        <is>
          <t>LastUpdatedBy</t>
        </is>
      </c>
      <c r="P1" s="13" t="inlineStr">
        <is>
          <t>LastUpdatedDate</t>
        </is>
      </c>
    </row>
    <row r="2">
      <c r="A2" s="14">
        <f>IF(B2="","","BRIEF-"&amp;TEXT(ROW()-1,"0000"))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>
      <c r="A3" s="14">
        <f>IF(B3="","","BRIEF-"&amp;TEXT(ROW()-1,"0000"))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</row>
    <row r="4">
      <c r="A4" s="14">
        <f>IF(B4="","","BRIEF-"&amp;TEXT(ROW()-1,"0000"))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</row>
    <row r="5">
      <c r="A5" s="14">
        <f>IF(B5="","","BRIEF-"&amp;TEXT(ROW()-1,"0000"))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</row>
    <row r="6">
      <c r="A6" s="14">
        <f>IF(B6="","","BRIEF-"&amp;TEXT(ROW()-1,"0000"))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AK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22" customWidth="1" min="4" max="4"/>
    <col width="16" customWidth="1" min="5" max="5"/>
    <col width="16" customWidth="1" min="6" max="6"/>
    <col width="22" customWidth="1" min="7" max="7"/>
    <col width="18" customWidth="1" min="8" max="8"/>
    <col width="10" customWidth="1" min="9" max="9"/>
    <col width="14" customWidth="1" min="10" max="10"/>
    <col width="12" customWidth="1" min="11" max="11"/>
    <col width="18" customWidth="1" min="12" max="12"/>
    <col width="16" customWidth="1" min="13" max="13"/>
    <col width="24" customWidth="1" min="14" max="14"/>
    <col width="10" customWidth="1" min="15" max="15"/>
    <col width="10" customWidth="1" min="16" max="16"/>
    <col width="14" customWidth="1" min="17" max="17"/>
    <col width="16" customWidth="1" min="18" max="18"/>
    <col width="16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18" customWidth="1" min="25" max="25"/>
    <col width="28" customWidth="1" min="26" max="26"/>
    <col width="12" customWidth="1" min="27" max="27"/>
    <col width="12" customWidth="1" min="28" max="28"/>
    <col width="24" customWidth="1" min="29" max="29"/>
    <col width="14" customWidth="1" min="30" max="30"/>
    <col width="14" customWidth="1" min="31" max="31"/>
    <col width="14" customWidth="1" min="32" max="32"/>
    <col width="14" customWidth="1" min="33" max="33"/>
    <col width="8" customWidth="1" min="34" max="34"/>
    <col width="8" customWidth="1" min="35" max="35"/>
    <col width="8" customWidth="1" min="36" max="36"/>
    <col width="8" customWidth="1" min="37" max="37"/>
  </cols>
  <sheetData>
    <row r="1">
      <c r="A1" s="13" t="inlineStr">
        <is>
          <t>OPS_ID</t>
        </is>
      </c>
      <c r="B1" s="13" t="inlineStr">
        <is>
          <t>OpsDate</t>
        </is>
      </c>
      <c r="C1" s="13" t="inlineStr">
        <is>
          <t>OpsType</t>
        </is>
      </c>
      <c r="D1" s="13" t="inlineStr">
        <is>
          <t>OpsName</t>
        </is>
      </c>
      <c r="E1" s="13" t="inlineStr">
        <is>
          <t>Parish</t>
        </is>
      </c>
      <c r="F1" s="13" t="inlineStr">
        <is>
          <t>Station</t>
        </is>
      </c>
      <c r="G1" s="13" t="inlineStr">
        <is>
          <t>Location</t>
        </is>
      </c>
      <c r="H1" s="13" t="inlineStr">
        <is>
          <t>TeamLead</t>
        </is>
      </c>
      <c r="I1" s="13" t="inlineStr">
        <is>
          <t>TeamSize</t>
        </is>
      </c>
      <c r="J1" s="13" t="inlineStr">
        <is>
          <t>Unit</t>
        </is>
      </c>
      <c r="K1" s="13" t="inlineStr">
        <is>
          <t>FCSI_Flag</t>
        </is>
      </c>
      <c r="L1" s="13" t="inlineStr">
        <is>
          <t>FCSI_Hotspot</t>
        </is>
      </c>
      <c r="M1" s="13" t="inlineStr">
        <is>
          <t>WarrantNumber</t>
        </is>
      </c>
      <c r="N1" s="13" t="inlineStr">
        <is>
          <t>TargetDescription</t>
        </is>
      </c>
      <c r="O1" s="13" t="inlineStr">
        <is>
          <t>Searches</t>
        </is>
      </c>
      <c r="P1" s="13" t="inlineStr">
        <is>
          <t>Arrests</t>
        </is>
      </c>
      <c r="Q1" s="13" t="inlineStr">
        <is>
          <t>FirearmsSeized</t>
        </is>
      </c>
      <c r="R1" s="13" t="inlineStr">
        <is>
          <t>AmmunitionSeized</t>
        </is>
      </c>
      <c r="S1" s="13" t="inlineStr">
        <is>
          <t>NarcoticsSeized_kg</t>
        </is>
      </c>
      <c r="T1" s="13" t="inlineStr">
        <is>
          <t>CashSeized</t>
        </is>
      </c>
      <c r="U1" s="13" t="inlineStr">
        <is>
          <t>OtherSeizures</t>
        </is>
      </c>
      <c r="V1" s="13" t="inlineStr">
        <is>
          <t>IntelGained</t>
        </is>
      </c>
      <c r="W1" s="13" t="inlineStr">
        <is>
          <t>LinkedLeadID</t>
        </is>
      </c>
      <c r="X1" s="13" t="inlineStr">
        <is>
          <t>LinkedCaseID</t>
        </is>
      </c>
      <c r="Y1" s="13" t="inlineStr">
        <is>
          <t>Outcome</t>
        </is>
      </c>
      <c r="Z1" s="13" t="inlineStr">
        <is>
          <t>OutcomeNotes</t>
        </is>
      </c>
      <c r="AA1" s="13" t="inlineStr">
        <is>
          <t>StartTime</t>
        </is>
      </c>
      <c r="AB1" s="13" t="inlineStr">
        <is>
          <t>EndTime</t>
        </is>
      </c>
      <c r="AC1" s="13" t="inlineStr">
        <is>
          <t>Notes</t>
        </is>
      </c>
      <c r="AD1" s="13" t="inlineStr">
        <is>
          <t>CreatedBy</t>
        </is>
      </c>
      <c r="AE1" s="13" t="inlineStr">
        <is>
          <t>CreatedDate</t>
        </is>
      </c>
      <c r="AF1" s="13" t="inlineStr">
        <is>
          <t>LastUpdatedBy</t>
        </is>
      </c>
      <c r="AG1" s="13" t="inlineStr">
        <is>
          <t>LastUpdatedDate</t>
        </is>
      </c>
      <c r="AH1" s="13" t="inlineStr">
        <is>
          <t>Week</t>
        </is>
      </c>
      <c r="AI1" s="13" t="inlineStr">
        <is>
          <t>Month</t>
        </is>
      </c>
      <c r="AJ1" s="13" t="inlineStr">
        <is>
          <t>Quarter</t>
        </is>
      </c>
      <c r="AK1" s="13" t="inlineStr">
        <is>
          <t>Year</t>
        </is>
      </c>
    </row>
    <row r="2">
      <c r="A2" s="14">
        <f>IF(B2="","","OPS-"&amp;TEXT(ROW()-1,"0000"))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  <c r="AH2" s="14">
        <f>IF(B2="","",WEEKNUM(B2))</f>
        <v/>
      </c>
      <c r="AI2" s="14">
        <f>IF(B2="","",MONTH(B2))</f>
        <v/>
      </c>
      <c r="AJ2" s="14">
        <f>IF(B2="","",ROUNDUP(MONTH(B2)/3,0))</f>
        <v/>
      </c>
      <c r="AK2" s="14">
        <f>IF(B2="","",YEAR(B2))</f>
        <v/>
      </c>
    </row>
    <row r="3">
      <c r="A3" s="14">
        <f>IF(B3="","","OPS-"&amp;TEXT(ROW()-1,"0000"))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>
        <f>IF(B3="","",WEEKNUM(B3))</f>
        <v/>
      </c>
      <c r="AI3" s="14">
        <f>IF(B3="","",MONTH(B3))</f>
        <v/>
      </c>
      <c r="AJ3" s="14">
        <f>IF(B3="","",ROUNDUP(MONTH(B3)/3,0))</f>
        <v/>
      </c>
      <c r="AK3" s="14">
        <f>IF(B3="","",YEAR(B3))</f>
        <v/>
      </c>
    </row>
    <row r="4">
      <c r="A4" s="14">
        <f>IF(B4="","","OPS-"&amp;TEXT(ROW()-1,"0000"))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>
        <f>IF(B4="","",WEEKNUM(B4))</f>
        <v/>
      </c>
      <c r="AI4" s="14">
        <f>IF(B4="","",MONTH(B4))</f>
        <v/>
      </c>
      <c r="AJ4" s="14">
        <f>IF(B4="","",ROUNDUP(MONTH(B4)/3,0))</f>
        <v/>
      </c>
      <c r="AK4" s="14">
        <f>IF(B4="","",YEAR(B4))</f>
        <v/>
      </c>
    </row>
    <row r="5">
      <c r="A5" s="14">
        <f>IF(B5="","","OPS-"&amp;TEXT(ROW()-1,"0000"))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 t="n"/>
      <c r="AE5" s="14" t="n"/>
      <c r="AF5" s="14" t="n"/>
      <c r="AG5" s="14" t="n"/>
      <c r="AH5" s="14">
        <f>IF(B5="","",WEEKNUM(B5))</f>
        <v/>
      </c>
      <c r="AI5" s="14">
        <f>IF(B5="","",MONTH(B5))</f>
        <v/>
      </c>
      <c r="AJ5" s="14">
        <f>IF(B5="","",ROUNDUP(MONTH(B5)/3,0))</f>
        <v/>
      </c>
      <c r="AK5" s="14">
        <f>IF(B5="","",YEAR(B5))</f>
        <v/>
      </c>
    </row>
    <row r="6">
      <c r="A6" s="14">
        <f>IF(B6="","","OPS-"&amp;TEXT(ROW()-1,"0000"))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 t="n"/>
      <c r="AG6" s="14" t="n"/>
      <c r="AH6" s="14">
        <f>IF(B6="","",WEEKNUM(B6))</f>
        <v/>
      </c>
      <c r="AI6" s="14">
        <f>IF(B6="","",MONTH(B6))</f>
        <v/>
      </c>
      <c r="AJ6" s="14">
        <f>IF(B6="","",ROUNDUP(MONTH(B6)/3,0))</f>
        <v/>
      </c>
      <c r="AK6" s="14">
        <f>IF(B6="","",YEAR(B6))</f>
        <v/>
      </c>
    </row>
  </sheetData>
  <conditionalFormatting sqref="K2:K1000">
    <cfRule type="expression" priority="1" dxfId="1">
      <formula>=K2="Yes"</formula>
    </cfRule>
  </conditionalFormatting>
  <dataValidations count="4">
    <dataValidation sqref="C2:C1000" showDropDown="0" showInputMessage="0" showErrorMessage="0" allowBlank="1" errorTitle="Invalid Entry" error="Please select from the list." type="list">
      <formula1>=Lookups!$H$2:$H$11</formula1>
    </dataValidation>
    <dataValidation sqref="E2:E1000" showDropDown="0" showInputMessage="0" showErrorMessage="0" allowBlank="1" errorTitle="Invalid Entry" error="Please select from the list." type="list">
      <formula1>=Lookups!$D$2:$D$16</formula1>
    </dataValidation>
    <dataValidation sqref="J2:J1000" showDropDown="0" showInputMessage="0" showErrorMessage="0" allowBlank="1" errorTitle="Invalid Entry" error="Please select from the list." type="list">
      <formula1>=Lookups!$E$2:$E$11</formula1>
    </dataValidation>
    <dataValidation sqref="K2:K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538135"/>
    <outlinePr summaryBelow="1" summaryRight="1"/>
    <pageSetUpPr/>
  </sheetPr>
  <dimension ref="A1:AI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20" customWidth="1" min="6" max="6"/>
    <col width="28" customWidth="1" min="7" max="7"/>
    <col width="10" customWidth="1" min="8" max="8"/>
    <col width="12" customWidth="1" min="9" max="9"/>
    <col width="18" customWidth="1" min="10" max="10"/>
    <col width="24" customWidth="1" min="11" max="11"/>
    <col width="18" customWidth="1" min="12" max="12"/>
    <col width="22" customWidth="1" min="13" max="13"/>
    <col width="20" customWidth="1" min="14" max="14"/>
    <col width="14" customWidth="1" min="15" max="15"/>
    <col width="14" customWidth="1" min="16" max="16"/>
    <col width="14" customWidth="1" min="17" max="17"/>
    <col width="16" customWidth="1" min="18" max="18"/>
    <col width="24" customWidth="1" min="19" max="19"/>
    <col width="14" customWidth="1" min="20" max="20"/>
    <col width="24" customWidth="1" min="21" max="21"/>
    <col width="22" customWidth="1" min="22" max="22"/>
    <col width="14" customWidth="1" min="23" max="23"/>
    <col width="14" customWidth="1" min="24" max="24"/>
    <col width="14" customWidth="1" min="25" max="25"/>
    <col width="16" customWidth="1" min="26" max="26"/>
    <col width="24" customWidth="1" min="27" max="27"/>
    <col width="14" customWidth="1" min="28" max="28"/>
    <col width="14" customWidth="1" min="29" max="29"/>
    <col width="14" customWidth="1" min="30" max="30"/>
    <col width="14" customWidth="1" min="31" max="31"/>
    <col width="8" customWidth="1" min="32" max="32"/>
    <col width="8" customWidth="1" min="33" max="33"/>
    <col width="8" customWidth="1" min="34" max="34"/>
    <col width="8" customWidth="1" min="35" max="35"/>
  </cols>
  <sheetData>
    <row r="1">
      <c r="A1" s="13" t="inlineStr">
        <is>
          <t>ExhibitID</t>
        </is>
      </c>
      <c r="B1" s="13" t="inlineStr">
        <is>
          <t>LinkedCaseID</t>
        </is>
      </c>
      <c r="C1" s="13" t="inlineStr">
        <is>
          <t>LinkedOpsID</t>
        </is>
      </c>
      <c r="D1" s="13" t="inlineStr">
        <is>
          <t>DateCollected</t>
        </is>
      </c>
      <c r="E1" s="13" t="inlineStr">
        <is>
          <t>CollectedBy</t>
        </is>
      </c>
      <c r="F1" s="13" t="inlineStr">
        <is>
          <t>EvidenceType</t>
        </is>
      </c>
      <c r="G1" s="13" t="inlineStr">
        <is>
          <t>Description</t>
        </is>
      </c>
      <c r="H1" s="13" t="inlineStr">
        <is>
          <t>Quantity</t>
        </is>
      </c>
      <c r="I1" s="13" t="inlineStr">
        <is>
          <t>Unit_Measure</t>
        </is>
      </c>
      <c r="J1" s="13" t="inlineStr">
        <is>
          <t>StorageLocation</t>
        </is>
      </c>
      <c r="K1" s="13" t="inlineStr">
        <is>
          <t>ChainOfCustody_Log</t>
        </is>
      </c>
      <c r="L1" s="13" t="inlineStr">
        <is>
          <t>CurrentCustodian</t>
        </is>
      </c>
      <c r="M1" s="13" t="inlineStr">
        <is>
          <t>ForensicAgency</t>
        </is>
      </c>
      <c r="N1" s="13" t="inlineStr">
        <is>
          <t>ForensicTestType</t>
        </is>
      </c>
      <c r="O1" s="13" t="inlineStr">
        <is>
          <t>SubmissionDate</t>
        </is>
      </c>
      <c r="P1" s="13" t="inlineStr">
        <is>
          <t>ExpectedReturn</t>
        </is>
      </c>
      <c r="Q1" s="13" t="inlineStr">
        <is>
          <t>ActualReturnDate</t>
        </is>
      </c>
      <c r="R1" s="13" t="inlineStr">
        <is>
          <t>AnalysisStatus</t>
        </is>
      </c>
      <c r="S1" s="13" t="inlineStr">
        <is>
          <t>ForensicResult</t>
        </is>
      </c>
      <c r="T1" s="13" t="inlineStr">
        <is>
          <t>TurnaroundDays</t>
        </is>
      </c>
      <c r="U1" s="13" t="inlineStr">
        <is>
          <t>EvidentialUse</t>
        </is>
      </c>
      <c r="V1" s="13" t="inlineStr">
        <is>
          <t>CaseElementSupported</t>
        </is>
      </c>
      <c r="W1" s="13" t="inlineStr">
        <is>
          <t>CourtReadiness</t>
        </is>
      </c>
      <c r="X1" s="13" t="inlineStr">
        <is>
          <t>CourtDate</t>
        </is>
      </c>
      <c r="Y1" s="13" t="inlineStr">
        <is>
          <t>DisposalDate</t>
        </is>
      </c>
      <c r="Z1" s="13" t="inlineStr">
        <is>
          <t>DisposalMethod</t>
        </is>
      </c>
      <c r="AA1" s="13" t="inlineStr">
        <is>
          <t>Notes</t>
        </is>
      </c>
      <c r="AB1" s="13" t="inlineStr">
        <is>
          <t>CreatedBy</t>
        </is>
      </c>
      <c r="AC1" s="13" t="inlineStr">
        <is>
          <t>CreatedDate</t>
        </is>
      </c>
      <c r="AD1" s="13" t="inlineStr">
        <is>
          <t>LastUpdatedBy</t>
        </is>
      </c>
      <c r="AE1" s="13" t="inlineStr">
        <is>
          <t>LastUpdatedDate</t>
        </is>
      </c>
      <c r="AF1" s="13" t="inlineStr">
        <is>
          <t>Week</t>
        </is>
      </c>
      <c r="AG1" s="13" t="inlineStr">
        <is>
          <t>Month</t>
        </is>
      </c>
      <c r="AH1" s="13" t="inlineStr">
        <is>
          <t>Quarter</t>
        </is>
      </c>
      <c r="AI1" s="13" t="inlineStr">
        <is>
          <t>Year</t>
        </is>
      </c>
    </row>
    <row r="2">
      <c r="A2" s="14">
        <f>IF(B2="","","EXH-"&amp;TEXT(ROW()-1,"0000"))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>
        <f>IFERROR(VLOOKUP(F2,tbl_ForensicRouting[#All],2,FALSE),"")</f>
        <v/>
      </c>
      <c r="N2" s="14">
        <f>IFERROR(VLOOKUP(F2,tbl_ForensicRouting[#All],3,FALSE),"")</f>
        <v/>
      </c>
      <c r="O2" s="14" t="n"/>
      <c r="P2" s="14" t="n"/>
      <c r="Q2" s="14" t="n"/>
      <c r="R2" s="14" t="n"/>
      <c r="S2" s="14" t="n"/>
      <c r="T2" s="14">
        <f>IF(OR(O2="",Q2=""),"",Q2-O2)</f>
        <v/>
      </c>
      <c r="U2" s="14">
        <f>IFERROR(VLOOKUP(F2,tbl_EvidenceUseMap[#All],2,FALSE),"")</f>
        <v/>
      </c>
      <c r="V2" s="14">
        <f>IFERROR(VLOOKUP(F2,tbl_EvidenceUseMap[#All],3,FALSE),"")</f>
        <v/>
      </c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>
        <f>IF(D2="","",WEEKNUM(D2))</f>
        <v/>
      </c>
      <c r="AG2" s="14">
        <f>IF(D2="","",MONTH(D2))</f>
        <v/>
      </c>
      <c r="AH2" s="14">
        <f>IF(D2="","",ROUNDUP(MONTH(D2)/3,0))</f>
        <v/>
      </c>
      <c r="AI2" s="14">
        <f>IF(D2="","",YEAR(D2))</f>
        <v/>
      </c>
    </row>
    <row r="3">
      <c r="A3" s="14">
        <f>IF(B3="","","EXH-"&amp;TEXT(ROW()-1,"0000"))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>
        <f>IFERROR(VLOOKUP(F3,tbl_ForensicRouting[#All],2,FALSE),"")</f>
        <v/>
      </c>
      <c r="N3" s="14">
        <f>IFERROR(VLOOKUP(F3,tbl_ForensicRouting[#All],3,FALSE),"")</f>
        <v/>
      </c>
      <c r="O3" s="14" t="n"/>
      <c r="P3" s="14" t="n"/>
      <c r="Q3" s="14" t="n"/>
      <c r="R3" s="14" t="n"/>
      <c r="S3" s="14" t="n"/>
      <c r="T3" s="14">
        <f>IF(OR(O3="",Q3=""),"",Q3-O3)</f>
        <v/>
      </c>
      <c r="U3" s="14">
        <f>IFERROR(VLOOKUP(F3,tbl_EvidenceUseMap[#All],2,FALSE),"")</f>
        <v/>
      </c>
      <c r="V3" s="14">
        <f>IFERROR(VLOOKUP(F3,tbl_EvidenceUseMap[#All],3,FALSE),"")</f>
        <v/>
      </c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>
        <f>IF(D3="","",WEEKNUM(D3))</f>
        <v/>
      </c>
      <c r="AG3" s="14">
        <f>IF(D3="","",MONTH(D3))</f>
        <v/>
      </c>
      <c r="AH3" s="14">
        <f>IF(D3="","",ROUNDUP(MONTH(D3)/3,0))</f>
        <v/>
      </c>
      <c r="AI3" s="14">
        <f>IF(D3="","",YEAR(D3))</f>
        <v/>
      </c>
    </row>
    <row r="4">
      <c r="A4" s="14">
        <f>IF(B4="","","EXH-"&amp;TEXT(ROW()-1,"0000"))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>
        <f>IFERROR(VLOOKUP(F4,tbl_ForensicRouting[#All],2,FALSE),"")</f>
        <v/>
      </c>
      <c r="N4" s="14">
        <f>IFERROR(VLOOKUP(F4,tbl_ForensicRouting[#All],3,FALSE),"")</f>
        <v/>
      </c>
      <c r="O4" s="14" t="n"/>
      <c r="P4" s="14" t="n"/>
      <c r="Q4" s="14" t="n"/>
      <c r="R4" s="14" t="n"/>
      <c r="S4" s="14" t="n"/>
      <c r="T4" s="14">
        <f>IF(OR(O4="",Q4=""),"",Q4-O4)</f>
        <v/>
      </c>
      <c r="U4" s="14">
        <f>IFERROR(VLOOKUP(F4,tbl_EvidenceUseMap[#All],2,FALSE),"")</f>
        <v/>
      </c>
      <c r="V4" s="14">
        <f>IFERROR(VLOOKUP(F4,tbl_EvidenceUseMap[#All],3,FALSE),"")</f>
        <v/>
      </c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>
        <f>IF(D4="","",WEEKNUM(D4))</f>
        <v/>
      </c>
      <c r="AG4" s="14">
        <f>IF(D4="","",MONTH(D4))</f>
        <v/>
      </c>
      <c r="AH4" s="14">
        <f>IF(D4="","",ROUNDUP(MONTH(D4)/3,0))</f>
        <v/>
      </c>
      <c r="AI4" s="14">
        <f>IF(D4="","",YEAR(D4))</f>
        <v/>
      </c>
    </row>
    <row r="5">
      <c r="A5" s="14">
        <f>IF(B5="","","EXH-"&amp;TEXT(ROW()-1,"0000"))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>
        <f>IFERROR(VLOOKUP(F5,tbl_ForensicRouting[#All],2,FALSE),"")</f>
        <v/>
      </c>
      <c r="N5" s="14">
        <f>IFERROR(VLOOKUP(F5,tbl_ForensicRouting[#All],3,FALSE),"")</f>
        <v/>
      </c>
      <c r="O5" s="14" t="n"/>
      <c r="P5" s="14" t="n"/>
      <c r="Q5" s="14" t="n"/>
      <c r="R5" s="14" t="n"/>
      <c r="S5" s="14" t="n"/>
      <c r="T5" s="14">
        <f>IF(OR(O5="",Q5=""),"",Q5-O5)</f>
        <v/>
      </c>
      <c r="U5" s="14">
        <f>IFERROR(VLOOKUP(F5,tbl_EvidenceUseMap[#All],2,FALSE),"")</f>
        <v/>
      </c>
      <c r="V5" s="14">
        <f>IFERROR(VLOOKUP(F5,tbl_EvidenceUseMap[#All],3,FALSE),"")</f>
        <v/>
      </c>
      <c r="W5" s="14" t="n"/>
      <c r="X5" s="14" t="n"/>
      <c r="Y5" s="14" t="n"/>
      <c r="Z5" s="14" t="n"/>
      <c r="AA5" s="14" t="n"/>
      <c r="AB5" s="14" t="n"/>
      <c r="AC5" s="14" t="n"/>
      <c r="AD5" s="14" t="n"/>
      <c r="AE5" s="14" t="n"/>
      <c r="AF5" s="14">
        <f>IF(D5="","",WEEKNUM(D5))</f>
        <v/>
      </c>
      <c r="AG5" s="14">
        <f>IF(D5="","",MONTH(D5))</f>
        <v/>
      </c>
      <c r="AH5" s="14">
        <f>IF(D5="","",ROUNDUP(MONTH(D5)/3,0))</f>
        <v/>
      </c>
      <c r="AI5" s="14">
        <f>IF(D5="","",YEAR(D5))</f>
        <v/>
      </c>
    </row>
    <row r="6">
      <c r="A6" s="14">
        <f>IF(B6="","","EXH-"&amp;TEXT(ROW()-1,"0000"))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>
        <f>IFERROR(VLOOKUP(F6,tbl_ForensicRouting[#All],2,FALSE),"")</f>
        <v/>
      </c>
      <c r="N6" s="14">
        <f>IFERROR(VLOOKUP(F6,tbl_ForensicRouting[#All],3,FALSE),"")</f>
        <v/>
      </c>
      <c r="O6" s="14" t="n"/>
      <c r="P6" s="14" t="n"/>
      <c r="Q6" s="14" t="n"/>
      <c r="R6" s="14" t="n"/>
      <c r="S6" s="14" t="n"/>
      <c r="T6" s="14">
        <f>IF(OR(O6="",Q6=""),"",Q6-O6)</f>
        <v/>
      </c>
      <c r="U6" s="14">
        <f>IFERROR(VLOOKUP(F6,tbl_EvidenceUseMap[#All],2,FALSE),"")</f>
        <v/>
      </c>
      <c r="V6" s="14">
        <f>IFERROR(VLOOKUP(F6,tbl_EvidenceUseMap[#All],3,FALSE),"")</f>
        <v/>
      </c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>
        <f>IF(D6="","",WEEKNUM(D6))</f>
        <v/>
      </c>
      <c r="AG6" s="14">
        <f>IF(D6="","",MONTH(D6))</f>
        <v/>
      </c>
      <c r="AH6" s="14">
        <f>IF(D6="","",ROUNDUP(MONTH(D6)/3,0))</f>
        <v/>
      </c>
      <c r="AI6" s="14">
        <f>IF(D6="","",YEAR(D6))</f>
        <v/>
      </c>
    </row>
  </sheetData>
  <conditionalFormatting sqref="P2:P1000">
    <cfRule type="expression" priority="1" dxfId="0">
      <formula>=AND(P2&lt;&gt;"",P2&lt;TODAY(),Q2="")</formula>
    </cfRule>
  </conditionalFormatting>
  <conditionalFormatting sqref="W2:W1000">
    <cfRule type="expression" priority="2" dxfId="0">
      <formula>=W2="Not Ready"</formula>
    </cfRule>
    <cfRule type="expression" priority="3" dxfId="2">
      <formula>=W2="Ready"</formula>
    </cfRule>
  </conditionalFormatting>
  <dataValidations count="3">
    <dataValidation sqref="F2:F1000" showDropDown="0" showInputMessage="0" showErrorMessage="0" allowBlank="1" errorTitle="Invalid Entry" error="Please select from the list." type="list">
      <formula1>=Lookups!$K$2:$K$16</formula1>
    </dataValidation>
    <dataValidation sqref="R2:R1000" showDropDown="0" showInputMessage="0" showErrorMessage="0" allowBlank="1" errorTitle="Invalid Entry" error="Please select from the list." type="list">
      <formula1>=Lookups!$M$2:$M$7</formula1>
    </dataValidation>
    <dataValidation sqref="W2:W1000" showDropDown="0" showInputMessage="0" showErrorMessage="0" allowBlank="1" errorTitle="Invalid Entry" error="Please select from the list." type="list">
      <formula1>=Lookups!$N$2:$N$5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U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8" customWidth="1" min="5" max="5"/>
    <col width="14" customWidth="1" min="6" max="6"/>
    <col width="16" customWidth="1" min="7" max="7"/>
    <col width="16" customWidth="1" min="8" max="8"/>
    <col width="16" customWidth="1" min="9" max="9"/>
    <col width="12" customWidth="1" min="10" max="10"/>
    <col width="14" customWidth="1" min="11" max="11"/>
    <col width="14" customWidth="1" min="12" max="12"/>
    <col width="14" customWidth="1" min="13" max="13"/>
    <col width="14" customWidth="1" min="14" max="14"/>
    <col width="12" customWidth="1" min="15" max="15"/>
    <col width="14" customWidth="1" min="16" max="16"/>
    <col width="24" customWidth="1" min="17" max="17"/>
    <col width="14" customWidth="1" min="18" max="18"/>
    <col width="14" customWidth="1" min="19" max="19"/>
    <col width="14" customWidth="1" min="20" max="20"/>
    <col width="14" customWidth="1" min="21" max="21"/>
  </cols>
  <sheetData>
    <row r="1">
      <c r="A1" s="13" t="inlineStr">
        <is>
          <t>VehicleID</t>
        </is>
      </c>
      <c r="B1" s="13" t="inlineStr">
        <is>
          <t>RegistrationNo</t>
        </is>
      </c>
      <c r="C1" s="13" t="inlineStr">
        <is>
          <t>Make</t>
        </is>
      </c>
      <c r="D1" s="13" t="inlineStr">
        <is>
          <t>Model</t>
        </is>
      </c>
      <c r="E1" s="13" t="inlineStr">
        <is>
          <t>Year</t>
        </is>
      </c>
      <c r="F1" s="13" t="inlineStr">
        <is>
          <t>VehicleType</t>
        </is>
      </c>
      <c r="G1" s="13" t="inlineStr">
        <is>
          <t>AssignedUnit</t>
        </is>
      </c>
      <c r="H1" s="13" t="inlineStr">
        <is>
          <t>AssignedStation</t>
        </is>
      </c>
      <c r="I1" s="13" t="inlineStr">
        <is>
          <t>CurrentStatus</t>
        </is>
      </c>
      <c r="J1" s="13" t="inlineStr">
        <is>
          <t>Mileage</t>
        </is>
      </c>
      <c r="K1" s="13" t="inlineStr">
        <is>
          <t>LastServiceDate</t>
        </is>
      </c>
      <c r="L1" s="13" t="inlineStr">
        <is>
          <t>NextServiceDue</t>
        </is>
      </c>
      <c r="M1" s="13" t="inlineStr">
        <is>
          <t>InsuranceExpiry</t>
        </is>
      </c>
      <c r="N1" s="13" t="inlineStr">
        <is>
          <t>FitnessExpiry</t>
        </is>
      </c>
      <c r="O1" s="13" t="inlineStr">
        <is>
          <t>FuelType</t>
        </is>
      </c>
      <c r="P1" s="13" t="inlineStr">
        <is>
          <t>TankCapacity_L</t>
        </is>
      </c>
      <c r="Q1" s="13" t="inlineStr">
        <is>
          <t>Notes</t>
        </is>
      </c>
      <c r="R1" s="13" t="inlineStr">
        <is>
          <t>CreatedBy</t>
        </is>
      </c>
      <c r="S1" s="13" t="inlineStr">
        <is>
          <t>CreatedDate</t>
        </is>
      </c>
      <c r="T1" s="13" t="inlineStr">
        <is>
          <t>LastUpdatedBy</t>
        </is>
      </c>
      <c r="U1" s="13" t="inlineStr">
        <is>
          <t>LastUpdatedDate</t>
        </is>
      </c>
    </row>
    <row r="2">
      <c r="A2" s="14">
        <f>IF(B2="","","VEH-"&amp;TEXT(ROW()-1,"0000"))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</row>
    <row r="3">
      <c r="A3" s="14">
        <f>IF(B3="","","VEH-"&amp;TEXT(ROW()-1,"0000"))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</row>
    <row r="4">
      <c r="A4" s="14">
        <f>IF(B4="","","VEH-"&amp;TEXT(ROW()-1,"0000"))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</row>
    <row r="5">
      <c r="A5" s="14">
        <f>IF(B5="","","VEH-"&amp;TEXT(ROW()-1,"0000"))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</row>
    <row r="6">
      <c r="A6" s="14">
        <f>IF(B6="","","VEH-"&amp;TEXT(ROW()-1,"0000"))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</row>
  </sheetData>
  <conditionalFormatting sqref="L2:L1000">
    <cfRule type="expression" priority="1" dxfId="0">
      <formula>=AND(L2&lt;&gt;"",L2&lt;TODAY())</formula>
    </cfRule>
  </conditionalFormatting>
  <conditionalFormatting sqref="M2:M1000">
    <cfRule type="expression" priority="2" dxfId="0">
      <formula>=AND(M2&lt;&gt;"",M2&lt;TODAY())</formula>
    </cfRule>
  </conditionalFormatting>
  <conditionalFormatting sqref="N2:N1000">
    <cfRule type="expression" priority="3" dxfId="0">
      <formula>=AND(N2&lt;&gt;"",N2&lt;TODAY())</formula>
    </cfRule>
  </conditionalFormatting>
  <dataValidations count="2">
    <dataValidation sqref="G2:G1000" showDropDown="0" showInputMessage="0" showErrorMessage="0" allowBlank="1" errorTitle="Invalid Entry" error="Please select from the list." type="list">
      <formula1>=Lookups!$E$2:$E$11</formula1>
    </dataValidation>
    <dataValidation sqref="I2:I1000" showDropDown="0" showInputMessage="0" showErrorMessage="0" allowBlank="1" errorTitle="Invalid Entry" error="Please select from the list." type="list">
      <formula1>=Lookups!$O$2:$O$6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U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22" customWidth="1" min="5" max="5"/>
    <col width="14" customWidth="1" min="6" max="6"/>
    <col width="14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4" customWidth="1" min="13" max="13"/>
    <col width="16" customWidth="1" min="14" max="14"/>
    <col width="24" customWidth="1" min="15" max="15"/>
    <col width="14" customWidth="1" min="16" max="16"/>
    <col width="14" customWidth="1" min="17" max="17"/>
    <col width="8" customWidth="1" min="18" max="18"/>
    <col width="8" customWidth="1" min="19" max="19"/>
    <col width="8" customWidth="1" min="20" max="20"/>
    <col width="8" customWidth="1" min="21" max="21"/>
  </cols>
  <sheetData>
    <row r="1">
      <c r="A1" s="13" t="inlineStr">
        <is>
          <t>UsageID</t>
        </is>
      </c>
      <c r="B1" s="13" t="inlineStr">
        <is>
          <t>VehicleID</t>
        </is>
      </c>
      <c r="C1" s="13" t="inlineStr">
        <is>
          <t>Date</t>
        </is>
      </c>
      <c r="D1" s="13" t="inlineStr">
        <is>
          <t>Driver</t>
        </is>
      </c>
      <c r="E1" s="13" t="inlineStr">
        <is>
          <t>Purpose</t>
        </is>
      </c>
      <c r="F1" s="13" t="inlineStr">
        <is>
          <t>LinkedOpsID</t>
        </is>
      </c>
      <c r="G1" s="13" t="inlineStr">
        <is>
          <t>LinkedCaseID</t>
        </is>
      </c>
      <c r="H1" s="13" t="inlineStr">
        <is>
          <t>DepartureTime</t>
        </is>
      </c>
      <c r="I1" s="13" t="inlineStr">
        <is>
          <t>ReturnTime</t>
        </is>
      </c>
      <c r="J1" s="13" t="inlineStr">
        <is>
          <t>StartMileage</t>
        </is>
      </c>
      <c r="K1" s="13" t="inlineStr">
        <is>
          <t>EndMileage</t>
        </is>
      </c>
      <c r="L1" s="13" t="inlineStr">
        <is>
          <t>DistanceKm</t>
        </is>
      </c>
      <c r="M1" s="13" t="inlineStr">
        <is>
          <t>Unit</t>
        </is>
      </c>
      <c r="N1" s="13" t="inlineStr">
        <is>
          <t>Parish</t>
        </is>
      </c>
      <c r="O1" s="13" t="inlineStr">
        <is>
          <t>Notes</t>
        </is>
      </c>
      <c r="P1" s="13" t="inlineStr">
        <is>
          <t>CreatedBy</t>
        </is>
      </c>
      <c r="Q1" s="13" t="inlineStr">
        <is>
          <t>CreatedDate</t>
        </is>
      </c>
      <c r="R1" s="13" t="inlineStr">
        <is>
          <t>Week</t>
        </is>
      </c>
      <c r="S1" s="13" t="inlineStr">
        <is>
          <t>Month</t>
        </is>
      </c>
      <c r="T1" s="13" t="inlineStr">
        <is>
          <t>Quarter</t>
        </is>
      </c>
      <c r="U1" s="13" t="inlineStr">
        <is>
          <t>Year</t>
        </is>
      </c>
    </row>
    <row r="2">
      <c r="A2" s="14">
        <f>IF(B2="","","USE-"&amp;TEXT(ROW()-1,"0000"))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>
        <f>IF(OR(J2="",K2=""),"",K2-J2)</f>
        <v/>
      </c>
      <c r="M2" s="14" t="n"/>
      <c r="N2" s="14" t="n"/>
      <c r="O2" s="14" t="n"/>
      <c r="P2" s="14" t="n"/>
      <c r="Q2" s="14" t="n"/>
      <c r="R2" s="14">
        <f>IF(C2="","",WEEKNUM(C2))</f>
        <v/>
      </c>
      <c r="S2" s="14">
        <f>IF(C2="","",MONTH(C2))</f>
        <v/>
      </c>
      <c r="T2" s="14">
        <f>IF(C2="","",ROUNDUP(MONTH(C2)/3,0))</f>
        <v/>
      </c>
      <c r="U2" s="14">
        <f>IF(C2="","",YEAR(C2))</f>
        <v/>
      </c>
    </row>
    <row r="3">
      <c r="A3" s="14">
        <f>IF(B3="","","USE-"&amp;TEXT(ROW()-1,"0000"))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>
        <f>IF(OR(J3="",K3=""),"",K3-J3)</f>
        <v/>
      </c>
      <c r="M3" s="14" t="n"/>
      <c r="N3" s="14" t="n"/>
      <c r="O3" s="14" t="n"/>
      <c r="P3" s="14" t="n"/>
      <c r="Q3" s="14" t="n"/>
      <c r="R3" s="14">
        <f>IF(C3="","",WEEKNUM(C3))</f>
        <v/>
      </c>
      <c r="S3" s="14">
        <f>IF(C3="","",MONTH(C3))</f>
        <v/>
      </c>
      <c r="T3" s="14">
        <f>IF(C3="","",ROUNDUP(MONTH(C3)/3,0))</f>
        <v/>
      </c>
      <c r="U3" s="14">
        <f>IF(C3="","",YEAR(C3))</f>
        <v/>
      </c>
    </row>
    <row r="4">
      <c r="A4" s="14">
        <f>IF(B4="","","USE-"&amp;TEXT(ROW()-1,"0000"))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>
        <f>IF(OR(J4="",K4=""),"",K4-J4)</f>
        <v/>
      </c>
      <c r="M4" s="14" t="n"/>
      <c r="N4" s="14" t="n"/>
      <c r="O4" s="14" t="n"/>
      <c r="P4" s="14" t="n"/>
      <c r="Q4" s="14" t="n"/>
      <c r="R4" s="14">
        <f>IF(C4="","",WEEKNUM(C4))</f>
        <v/>
      </c>
      <c r="S4" s="14">
        <f>IF(C4="","",MONTH(C4))</f>
        <v/>
      </c>
      <c r="T4" s="14">
        <f>IF(C4="","",ROUNDUP(MONTH(C4)/3,0))</f>
        <v/>
      </c>
      <c r="U4" s="14">
        <f>IF(C4="","",YEAR(C4))</f>
        <v/>
      </c>
    </row>
    <row r="5">
      <c r="A5" s="14">
        <f>IF(B5="","","USE-"&amp;TEXT(ROW()-1,"0000"))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>
        <f>IF(OR(J5="",K5=""),"",K5-J5)</f>
        <v/>
      </c>
      <c r="M5" s="14" t="n"/>
      <c r="N5" s="14" t="n"/>
      <c r="O5" s="14" t="n"/>
      <c r="P5" s="14" t="n"/>
      <c r="Q5" s="14" t="n"/>
      <c r="R5" s="14">
        <f>IF(C5="","",WEEKNUM(C5))</f>
        <v/>
      </c>
      <c r="S5" s="14">
        <f>IF(C5="","",MONTH(C5))</f>
        <v/>
      </c>
      <c r="T5" s="14">
        <f>IF(C5="","",ROUNDUP(MONTH(C5)/3,0))</f>
        <v/>
      </c>
      <c r="U5" s="14">
        <f>IF(C5="","",YEAR(C5))</f>
        <v/>
      </c>
    </row>
    <row r="6">
      <c r="A6" s="14">
        <f>IF(B6="","","USE-"&amp;TEXT(ROW()-1,"0000"))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>
        <f>IF(OR(J6="",K6=""),"",K6-J6)</f>
        <v/>
      </c>
      <c r="M6" s="14" t="n"/>
      <c r="N6" s="14" t="n"/>
      <c r="O6" s="14" t="n"/>
      <c r="P6" s="14" t="n"/>
      <c r="Q6" s="14" t="n"/>
      <c r="R6" s="14">
        <f>IF(C6="","",WEEKNUM(C6))</f>
        <v/>
      </c>
      <c r="S6" s="14">
        <f>IF(C6="","",MONTH(C6))</f>
        <v/>
      </c>
      <c r="T6" s="14">
        <f>IF(C6="","",ROUNDUP(MONTH(C6)/3,0))</f>
        <v/>
      </c>
      <c r="U6" s="14">
        <f>IF(C6="","",YEAR(C6))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2E75B6"/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2" customWidth="1" min="5" max="5"/>
    <col width="10" customWidth="1" min="6" max="6"/>
    <col width="12" customWidth="1" min="7" max="7"/>
    <col width="14" customWidth="1" min="8" max="8"/>
    <col width="16" customWidth="1" min="9" max="9"/>
    <col width="14" customWidth="1" min="10" max="10"/>
    <col width="24" customWidth="1" min="11" max="11"/>
    <col width="14" customWidth="1" min="12" max="12"/>
    <col width="14" customWidth="1" min="13" max="13"/>
    <col width="8" customWidth="1" min="14" max="14"/>
    <col width="8" customWidth="1" min="15" max="15"/>
    <col width="8" customWidth="1" min="16" max="16"/>
    <col width="8" customWidth="1" min="17" max="17"/>
  </cols>
  <sheetData>
    <row r="1">
      <c r="A1" s="13" t="inlineStr">
        <is>
          <t>FuelID</t>
        </is>
      </c>
      <c r="B1" s="13" t="inlineStr">
        <is>
          <t>VehicleID</t>
        </is>
      </c>
      <c r="C1" s="13" t="inlineStr">
        <is>
          <t>Date</t>
        </is>
      </c>
      <c r="D1" s="13" t="inlineStr">
        <is>
          <t>Driver</t>
        </is>
      </c>
      <c r="E1" s="13" t="inlineStr">
        <is>
          <t>FuelType</t>
        </is>
      </c>
      <c r="F1" s="13" t="inlineStr">
        <is>
          <t>Litres</t>
        </is>
      </c>
      <c r="G1" s="13" t="inlineStr">
        <is>
          <t>Cost</t>
        </is>
      </c>
      <c r="H1" s="13" t="inlineStr">
        <is>
          <t>Mileage_AtFill</t>
        </is>
      </c>
      <c r="I1" s="13" t="inlineStr">
        <is>
          <t>Station</t>
        </is>
      </c>
      <c r="J1" s="13" t="inlineStr">
        <is>
          <t>ReceiptNo</t>
        </is>
      </c>
      <c r="K1" s="13" t="inlineStr">
        <is>
          <t>Notes</t>
        </is>
      </c>
      <c r="L1" s="13" t="inlineStr">
        <is>
          <t>CreatedBy</t>
        </is>
      </c>
      <c r="M1" s="13" t="inlineStr">
        <is>
          <t>CreatedDate</t>
        </is>
      </c>
      <c r="N1" s="13" t="inlineStr">
        <is>
          <t>Week</t>
        </is>
      </c>
      <c r="O1" s="13" t="inlineStr">
        <is>
          <t>Month</t>
        </is>
      </c>
      <c r="P1" s="13" t="inlineStr">
        <is>
          <t>Quarter</t>
        </is>
      </c>
      <c r="Q1" s="13" t="inlineStr">
        <is>
          <t>Year</t>
        </is>
      </c>
    </row>
    <row r="2">
      <c r="A2" s="14">
        <f>IF(B2="","","FUEL-"&amp;TEXT(ROW()-1,"0000"))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>
        <f>IF(C2="","",WEEKNUM(C2))</f>
        <v/>
      </c>
      <c r="O2" s="14">
        <f>IF(C2="","",MONTH(C2))</f>
        <v/>
      </c>
      <c r="P2" s="14">
        <f>IF(C2="","",ROUNDUP(MONTH(C2)/3,0))</f>
        <v/>
      </c>
      <c r="Q2" s="14">
        <f>IF(C2="","",YEAR(C2))</f>
        <v/>
      </c>
    </row>
    <row r="3">
      <c r="A3" s="14">
        <f>IF(B3="","","FUEL-"&amp;TEXT(ROW()-1,"0000"))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>
        <f>IF(C3="","",WEEKNUM(C3))</f>
        <v/>
      </c>
      <c r="O3" s="14">
        <f>IF(C3="","",MONTH(C3))</f>
        <v/>
      </c>
      <c r="P3" s="14">
        <f>IF(C3="","",ROUNDUP(MONTH(C3)/3,0))</f>
        <v/>
      </c>
      <c r="Q3" s="14">
        <f>IF(C3="","",YEAR(C3))</f>
        <v/>
      </c>
    </row>
    <row r="4">
      <c r="A4" s="14">
        <f>IF(B4="","","FUEL-"&amp;TEXT(ROW()-1,"0000"))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>
        <f>IF(C4="","",WEEKNUM(C4))</f>
        <v/>
      </c>
      <c r="O4" s="14">
        <f>IF(C4="","",MONTH(C4))</f>
        <v/>
      </c>
      <c r="P4" s="14">
        <f>IF(C4="","",ROUNDUP(MONTH(C4)/3,0))</f>
        <v/>
      </c>
      <c r="Q4" s="14">
        <f>IF(C4="","",YEAR(C4))</f>
        <v/>
      </c>
    </row>
    <row r="5">
      <c r="A5" s="14">
        <f>IF(B5="","","FUEL-"&amp;TEXT(ROW()-1,"0000"))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>
        <f>IF(C5="","",WEEKNUM(C5))</f>
        <v/>
      </c>
      <c r="O5" s="14">
        <f>IF(C5="","",MONTH(C5))</f>
        <v/>
      </c>
      <c r="P5" s="14">
        <f>IF(C5="","",ROUNDUP(MONTH(C5)/3,0))</f>
        <v/>
      </c>
      <c r="Q5" s="14">
        <f>IF(C5="","",YEAR(C5))</f>
        <v/>
      </c>
    </row>
    <row r="6">
      <c r="A6" s="14">
        <f>IF(B6="","","FUEL-"&amp;TEXT(ROW()-1,"0000"))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>
        <f>IF(C6="","",WEEKNUM(C6))</f>
        <v/>
      </c>
      <c r="O6" s="14">
        <f>IF(C6="","",MONTH(C6))</f>
        <v/>
      </c>
      <c r="P6" s="14">
        <f>IF(C6="","",ROUNDUP(MONTH(C6)/3,0))</f>
        <v/>
      </c>
      <c r="Q6" s="14">
        <f>IF(C6="","",YEAR(C6))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2E75B6"/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28" customWidth="1" min="4" max="4"/>
    <col width="20" customWidth="1" min="5" max="5"/>
    <col width="14" customWidth="1" min="6" max="6"/>
    <col width="14" customWidth="1" min="7" max="7"/>
    <col width="12" customWidth="1" min="8" max="8"/>
    <col width="12" customWidth="1" min="9" max="9"/>
    <col width="24" customWidth="1" min="10" max="10"/>
    <col width="14" customWidth="1" min="11" max="11"/>
    <col width="12" customWidth="1" min="12" max="12"/>
    <col width="2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3" t="inlineStr">
        <is>
          <t>MaintID</t>
        </is>
      </c>
      <c r="B1" s="13" t="inlineStr">
        <is>
          <t>VehicleID</t>
        </is>
      </c>
      <c r="C1" s="13" t="inlineStr">
        <is>
          <t>MaintenanceType</t>
        </is>
      </c>
      <c r="D1" s="13" t="inlineStr">
        <is>
          <t>Description</t>
        </is>
      </c>
      <c r="E1" s="13" t="inlineStr">
        <is>
          <t>ServiceProvider</t>
        </is>
      </c>
      <c r="F1" s="13" t="inlineStr">
        <is>
          <t>DateIn</t>
        </is>
      </c>
      <c r="G1" s="13" t="inlineStr">
        <is>
          <t>DateOut</t>
        </is>
      </c>
      <c r="H1" s="13" t="inlineStr">
        <is>
          <t>Cost</t>
        </is>
      </c>
      <c r="I1" s="13" t="inlineStr">
        <is>
          <t>Mileage</t>
        </is>
      </c>
      <c r="J1" s="13" t="inlineStr">
        <is>
          <t>PartsReplaced</t>
        </is>
      </c>
      <c r="K1" s="13" t="inlineStr">
        <is>
          <t>NextServiceDue</t>
        </is>
      </c>
      <c r="L1" s="13" t="inlineStr">
        <is>
          <t>DowntimeDays</t>
        </is>
      </c>
      <c r="M1" s="13" t="inlineStr">
        <is>
          <t>Notes</t>
        </is>
      </c>
      <c r="N1" s="13" t="inlineStr">
        <is>
          <t>CreatedBy</t>
        </is>
      </c>
      <c r="O1" s="13" t="inlineStr">
        <is>
          <t>CreatedDate</t>
        </is>
      </c>
      <c r="P1" s="13" t="inlineStr">
        <is>
          <t>LastUpdatedBy</t>
        </is>
      </c>
      <c r="Q1" s="13" t="inlineStr">
        <is>
          <t>LastUpdatedDate</t>
        </is>
      </c>
    </row>
    <row r="2">
      <c r="A2" s="14">
        <f>IF(B2="","","MAINT-"&amp;TEXT(ROW()-1,"0000"))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>
        <f>IF(OR(F2="",G2=""),"",G2-F2)</f>
        <v/>
      </c>
      <c r="M2" s="14" t="n"/>
      <c r="N2" s="14" t="n"/>
      <c r="O2" s="14" t="n"/>
      <c r="P2" s="14" t="n"/>
      <c r="Q2" s="14" t="n"/>
    </row>
    <row r="3">
      <c r="A3" s="14">
        <f>IF(B3="","","MAINT-"&amp;TEXT(ROW()-1,"0000"))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>
        <f>IF(OR(F3="",G3=""),"",G3-F3)</f>
        <v/>
      </c>
      <c r="M3" s="14" t="n"/>
      <c r="N3" s="14" t="n"/>
      <c r="O3" s="14" t="n"/>
      <c r="P3" s="14" t="n"/>
      <c r="Q3" s="14" t="n"/>
    </row>
    <row r="4">
      <c r="A4" s="14">
        <f>IF(B4="","","MAINT-"&amp;TEXT(ROW()-1,"0000"))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>
        <f>IF(OR(F4="",G4=""),"",G4-F4)</f>
        <v/>
      </c>
      <c r="M4" s="14" t="n"/>
      <c r="N4" s="14" t="n"/>
      <c r="O4" s="14" t="n"/>
      <c r="P4" s="14" t="n"/>
      <c r="Q4" s="14" t="n"/>
    </row>
    <row r="5">
      <c r="A5" s="14">
        <f>IF(B5="","","MAINT-"&amp;TEXT(ROW()-1,"0000"))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>
        <f>IF(OR(F5="",G5=""),"",G5-F5)</f>
        <v/>
      </c>
      <c r="M5" s="14" t="n"/>
      <c r="N5" s="14" t="n"/>
      <c r="O5" s="14" t="n"/>
      <c r="P5" s="14" t="n"/>
      <c r="Q5" s="14" t="n"/>
    </row>
    <row r="6">
      <c r="A6" s="14">
        <f>IF(B6="","","MAINT-"&amp;TEXT(ROW()-1,"0000"))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>
        <f>IF(OR(F6="",G6=""),"",G6-F6)</f>
        <v/>
      </c>
      <c r="M6" s="14" t="n"/>
      <c r="N6" s="14" t="n"/>
      <c r="O6" s="14" t="n"/>
      <c r="P6" s="14" t="n"/>
      <c r="Q6" s="1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2E75B6"/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6" customWidth="1" min="6" max="6"/>
    <col width="16" customWidth="1" min="7" max="7"/>
    <col width="14" customWidth="1" min="8" max="8"/>
    <col width="14" customWidth="1" min="9" max="9"/>
    <col width="20" customWidth="1" min="10" max="10"/>
    <col width="14" customWidth="1" min="11" max="11"/>
    <col width="14" customWidth="1" min="12" max="12"/>
    <col width="24" customWidth="1" min="13" max="13"/>
    <col width="14" customWidth="1" min="14" max="14"/>
    <col width="14" customWidth="1" min="15" max="15"/>
    <col width="14" customWidth="1" min="16" max="16"/>
    <col width="14" customWidth="1" min="17" max="17"/>
  </cols>
  <sheetData>
    <row r="1">
      <c r="A1" s="13" t="inlineStr">
        <is>
          <t>DriverID</t>
        </is>
      </c>
      <c r="B1" s="13" t="inlineStr">
        <is>
          <t>FullName</t>
        </is>
      </c>
      <c r="C1" s="13" t="inlineStr">
        <is>
          <t>Rank</t>
        </is>
      </c>
      <c r="D1" s="13" t="inlineStr">
        <is>
          <t>BadgeNo</t>
        </is>
      </c>
      <c r="E1" s="13" t="inlineStr">
        <is>
          <t>Unit</t>
        </is>
      </c>
      <c r="F1" s="13" t="inlineStr">
        <is>
          <t>Station</t>
        </is>
      </c>
      <c r="G1" s="13" t="inlineStr">
        <is>
          <t>LicenseNo</t>
        </is>
      </c>
      <c r="H1" s="13" t="inlineStr">
        <is>
          <t>LicenseExpiry</t>
        </is>
      </c>
      <c r="I1" s="13" t="inlineStr">
        <is>
          <t>LicenseClass</t>
        </is>
      </c>
      <c r="J1" s="13" t="inlineStr">
        <is>
          <t>DefensiveDrivingCert</t>
        </is>
      </c>
      <c r="K1" s="13" t="inlineStr">
        <is>
          <t>CertExpiry</t>
        </is>
      </c>
      <c r="L1" s="13" t="inlineStr">
        <is>
          <t>Status</t>
        </is>
      </c>
      <c r="M1" s="13" t="inlineStr">
        <is>
          <t>Notes</t>
        </is>
      </c>
      <c r="N1" s="13" t="inlineStr">
        <is>
          <t>CreatedBy</t>
        </is>
      </c>
      <c r="O1" s="13" t="inlineStr">
        <is>
          <t>CreatedDate</t>
        </is>
      </c>
      <c r="P1" s="13" t="inlineStr">
        <is>
          <t>LastUpdatedBy</t>
        </is>
      </c>
      <c r="Q1" s="13" t="inlineStr">
        <is>
          <t>LastUpdatedDate</t>
        </is>
      </c>
    </row>
    <row r="2">
      <c r="A2" s="14">
        <f>IF(B2="","","DRV-"&amp;TEXT(ROW()-1,"0000"))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</row>
    <row r="3">
      <c r="A3" s="14">
        <f>IF(B3="","","DRV-"&amp;TEXT(ROW()-1,"0000"))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</row>
    <row r="4">
      <c r="A4" s="14">
        <f>IF(B4="","","DRV-"&amp;TEXT(ROW()-1,"0000"))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</row>
    <row r="5">
      <c r="A5" s="14">
        <f>IF(B5="","","DRV-"&amp;TEXT(ROW()-1,"0000"))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</row>
    <row r="6">
      <c r="A6" s="14">
        <f>IF(B6="","","DRV-"&amp;TEXT(ROW()-1,"0000"))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</row>
  </sheetData>
  <conditionalFormatting sqref="H2:H1000">
    <cfRule type="expression" priority="1" dxfId="0">
      <formula>=AND(H2&lt;&gt;"",H2&lt;TODAY())</formula>
    </cfRule>
  </conditionalFormatting>
  <dataValidations count="2">
    <dataValidation sqref="C2:C1000" showDropDown="0" showInputMessage="0" showErrorMessage="0" allowBlank="1" errorTitle="Invalid Entry" error="Please select from the list." type="list">
      <formula1>=Lookups!$Q$2:$Q$11</formula1>
    </dataValidation>
    <dataValidation sqref="E2:E1000" showDropDown="0" showInputMessage="0" showErrorMessage="0" allowBlank="1" errorTitle="Invalid Entry" error="Please select from the list." type="list">
      <formula1>=Lookups!$E$2:$E$11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00B050"/>
    <outlinePr summaryBelow="1" summaryRight="1"/>
    <pageSetUpPr/>
  </sheetPr>
  <dimension ref="A1:AA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16" customWidth="1" min="4" max="4"/>
    <col width="18" customWidth="1" min="5" max="5"/>
    <col width="20" customWidth="1" min="6" max="6"/>
    <col width="24" customWidth="1" min="7" max="7"/>
    <col width="18" customWidth="1" min="8" max="8"/>
    <col width="18" customWidth="1" min="9" max="9"/>
    <col width="12" customWidth="1" min="10" max="10"/>
    <col width="12" customWidth="1" min="11" max="11"/>
    <col width="20" customWidth="1" min="12" max="12"/>
    <col width="22" customWidth="1" min="13" max="13"/>
    <col width="24" customWidth="1" min="14" max="14"/>
    <col width="24" customWidth="1" min="15" max="15"/>
    <col width="14" customWidth="1" min="16" max="16"/>
    <col width="14" customWidth="1" min="17" max="17"/>
    <col width="10" customWidth="1" min="18" max="18"/>
    <col width="24" customWidth="1" min="19" max="19"/>
    <col width="14" customWidth="1" min="20" max="20"/>
    <col width="14" customWidth="1" min="21" max="21"/>
    <col width="14" customWidth="1" min="22" max="22"/>
    <col width="14" customWidth="1" min="23" max="23"/>
    <col width="8" customWidth="1" min="24" max="24"/>
    <col width="8" customWidth="1" min="25" max="25"/>
    <col width="8" customWidth="1" min="26" max="26"/>
    <col width="8" customWidth="1" min="27" max="27"/>
  </cols>
  <sheetData>
    <row r="1">
      <c r="A1" s="13" t="inlineStr">
        <is>
          <t>LectureID</t>
        </is>
      </c>
      <c r="B1" s="13" t="inlineStr">
        <is>
          <t>Date</t>
        </is>
      </c>
      <c r="C1" s="13" t="inlineStr">
        <is>
          <t>Location</t>
        </is>
      </c>
      <c r="D1" s="13" t="inlineStr">
        <is>
          <t>Parish</t>
        </is>
      </c>
      <c r="E1" s="13" t="inlineStr">
        <is>
          <t>Community</t>
        </is>
      </c>
      <c r="F1" s="13" t="inlineStr">
        <is>
          <t>Venue</t>
        </is>
      </c>
      <c r="G1" s="13" t="inlineStr">
        <is>
          <t>Topic</t>
        </is>
      </c>
      <c r="H1" s="13" t="inlineStr">
        <is>
          <t>Presenter</t>
        </is>
      </c>
      <c r="I1" s="13" t="inlineStr">
        <is>
          <t>TargetAudience</t>
        </is>
      </c>
      <c r="J1" s="13" t="inlineStr">
        <is>
          <t>Attendance</t>
        </is>
      </c>
      <c r="K1" s="13" t="inlineStr">
        <is>
          <t>Duration_Hrs</t>
        </is>
      </c>
      <c r="L1" s="13" t="inlineStr">
        <is>
          <t>MaterialsUsed</t>
        </is>
      </c>
      <c r="M1" s="13" t="inlineStr">
        <is>
          <t>PartnerOrganizations</t>
        </is>
      </c>
      <c r="N1" s="13" t="inlineStr">
        <is>
          <t>Outcome</t>
        </is>
      </c>
      <c r="O1" s="13" t="inlineStr">
        <is>
          <t>Feedback</t>
        </is>
      </c>
      <c r="P1" s="13" t="inlineStr">
        <is>
          <t>FollowUpPlanned</t>
        </is>
      </c>
      <c r="Q1" s="13" t="inlineStr">
        <is>
          <t>FollowUpDate</t>
        </is>
      </c>
      <c r="R1" s="13" t="inlineStr">
        <is>
          <t>Photos_YN</t>
        </is>
      </c>
      <c r="S1" s="13" t="inlineStr">
        <is>
          <t>Notes</t>
        </is>
      </c>
      <c r="T1" s="13" t="inlineStr">
        <is>
          <t>CreatedBy</t>
        </is>
      </c>
      <c r="U1" s="13" t="inlineStr">
        <is>
          <t>CreatedDate</t>
        </is>
      </c>
      <c r="V1" s="13" t="inlineStr">
        <is>
          <t>LastUpdatedBy</t>
        </is>
      </c>
      <c r="W1" s="13" t="inlineStr">
        <is>
          <t>LastUpdatedDate</t>
        </is>
      </c>
      <c r="X1" s="13" t="inlineStr">
        <is>
          <t>Week</t>
        </is>
      </c>
      <c r="Y1" s="13" t="inlineStr">
        <is>
          <t>Month</t>
        </is>
      </c>
      <c r="Z1" s="13" t="inlineStr">
        <is>
          <t>Quarter</t>
        </is>
      </c>
      <c r="AA1" s="13" t="inlineStr">
        <is>
          <t>Year</t>
        </is>
      </c>
    </row>
    <row r="2">
      <c r="A2" s="14">
        <f>IF(B2="","","LEC-"&amp;TEXT(ROW()-1,"0000"))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>
        <f>IF(B2="","",WEEKNUM(B2))</f>
        <v/>
      </c>
      <c r="Y2" s="14">
        <f>IF(B2="","",MONTH(B2))</f>
        <v/>
      </c>
      <c r="Z2" s="14">
        <f>IF(B2="","",ROUNDUP(MONTH(B2)/3,0))</f>
        <v/>
      </c>
      <c r="AA2" s="14">
        <f>IF(B2="","",YEAR(B2))</f>
        <v/>
      </c>
    </row>
    <row r="3">
      <c r="A3" s="14">
        <f>IF(B3="","","LEC-"&amp;TEXT(ROW()-1,"0000"))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>
        <f>IF(B3="","",WEEKNUM(B3))</f>
        <v/>
      </c>
      <c r="Y3" s="14">
        <f>IF(B3="","",MONTH(B3))</f>
        <v/>
      </c>
      <c r="Z3" s="14">
        <f>IF(B3="","",ROUNDUP(MONTH(B3)/3,0))</f>
        <v/>
      </c>
      <c r="AA3" s="14">
        <f>IF(B3="","",YEAR(B3))</f>
        <v/>
      </c>
    </row>
    <row r="4">
      <c r="A4" s="14">
        <f>IF(B4="","","LEC-"&amp;TEXT(ROW()-1,"0000"))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>
        <f>IF(B4="","",WEEKNUM(B4))</f>
        <v/>
      </c>
      <c r="Y4" s="14">
        <f>IF(B4="","",MONTH(B4))</f>
        <v/>
      </c>
      <c r="Z4" s="14">
        <f>IF(B4="","",ROUNDUP(MONTH(B4)/3,0))</f>
        <v/>
      </c>
      <c r="AA4" s="14">
        <f>IF(B4="","",YEAR(B4))</f>
        <v/>
      </c>
    </row>
    <row r="5">
      <c r="A5" s="14">
        <f>IF(B5="","","LEC-"&amp;TEXT(ROW()-1,"0000"))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>
        <f>IF(B5="","",WEEKNUM(B5))</f>
        <v/>
      </c>
      <c r="Y5" s="14">
        <f>IF(B5="","",MONTH(B5))</f>
        <v/>
      </c>
      <c r="Z5" s="14">
        <f>IF(B5="","",ROUNDUP(MONTH(B5)/3,0))</f>
        <v/>
      </c>
      <c r="AA5" s="14">
        <f>IF(B5="","",YEAR(B5))</f>
        <v/>
      </c>
    </row>
    <row r="6">
      <c r="A6" s="14">
        <f>IF(B6="","","LEC-"&amp;TEXT(ROW()-1,"0000"))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>
        <f>IF(B6="","",WEEKNUM(B6))</f>
        <v/>
      </c>
      <c r="Y6" s="14">
        <f>IF(B6="","",MONTH(B6))</f>
        <v/>
      </c>
      <c r="Z6" s="14">
        <f>IF(B6="","",ROUNDUP(MONTH(B6)/3,0))</f>
        <v/>
      </c>
      <c r="AA6" s="14">
        <f>IF(B6="","",YEAR(B6))</f>
        <v/>
      </c>
    </row>
  </sheetData>
  <dataValidations count="2">
    <dataValidation sqref="D2:D1000" showDropDown="0" showInputMessage="0" showErrorMessage="0" allowBlank="1" errorTitle="Invalid Entry" error="Please select from the list." type="list">
      <formula1>=Lookups!$D$2:$D$16</formula1>
    </dataValidation>
    <dataValidation sqref="R2:R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tabColor rgb="00002060"/>
    <outlinePr summaryBelow="1" summaryRight="1"/>
    <pageSetUpPr/>
  </sheetPr>
  <dimension ref="A1:AC5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8" customWidth="1" min="3" max="3"/>
    <col width="22" customWidth="1" min="4" max="4"/>
    <col width="30" customWidth="1" min="5" max="5"/>
    <col width="12" customWidth="1" min="6" max="6"/>
    <col width="12" customWidth="1" min="7" max="7"/>
    <col width="14" customWidth="1" min="8" max="8"/>
    <col width="14" customWidth="1" min="9" max="9"/>
    <col width="14" customWidth="1" min="10" max="10"/>
    <col width="12" customWidth="1" min="11" max="11"/>
    <col width="12" customWidth="1" min="12" max="12"/>
    <col width="12" customWidth="1" min="13" max="13"/>
    <col width="14" customWidth="1" min="14" max="14"/>
    <col width="14" customWidth="1" min="15" max="15"/>
    <col width="14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20" customWidth="1" min="24" max="24"/>
    <col width="24" customWidth="1" min="25" max="25"/>
    <col width="14" customWidth="1" min="26" max="26"/>
    <col width="14" customWidth="1" min="27" max="27"/>
    <col width="14" customWidth="1" min="28" max="28"/>
    <col width="14" customWidth="1" min="29" max="29"/>
  </cols>
  <sheetData>
    <row r="1">
      <c r="A1" s="13" t="inlineStr">
        <is>
          <t>PlanID</t>
        </is>
      </c>
      <c r="B1" s="13" t="inlineStr">
        <is>
          <t>Unit</t>
        </is>
      </c>
      <c r="C1" s="13" t="inlineStr">
        <is>
          <t>StrategicObjective</t>
        </is>
      </c>
      <c r="D1" s="13" t="inlineStr">
        <is>
          <t>KPI_Name</t>
        </is>
      </c>
      <c r="E1" s="13" t="inlineStr">
        <is>
          <t>KPI_Description</t>
        </is>
      </c>
      <c r="F1" s="13" t="inlineStr">
        <is>
          <t>Frequency</t>
        </is>
      </c>
      <c r="G1" s="13" t="inlineStr">
        <is>
          <t>Target_Daily</t>
        </is>
      </c>
      <c r="H1" s="13" t="inlineStr">
        <is>
          <t>Target_Monthly</t>
        </is>
      </c>
      <c r="I1" s="13" t="inlineStr">
        <is>
          <t>Target_Quarterly</t>
        </is>
      </c>
      <c r="J1" s="13" t="inlineStr">
        <is>
          <t>Target_Annual</t>
        </is>
      </c>
      <c r="K1" s="13" t="inlineStr">
        <is>
          <t>Actual_MTD</t>
        </is>
      </c>
      <c r="L1" s="13" t="inlineStr">
        <is>
          <t>Actual_QTD</t>
        </is>
      </c>
      <c r="M1" s="13" t="inlineStr">
        <is>
          <t>Actual_YTD</t>
        </is>
      </c>
      <c r="N1" s="13" t="inlineStr">
        <is>
          <t>Variance_Monthly</t>
        </is>
      </c>
      <c r="O1" s="13" t="inlineStr">
        <is>
          <t>Variance_Quarterly</t>
        </is>
      </c>
      <c r="P1" s="13" t="inlineStr">
        <is>
          <t>Variance_Annual</t>
        </is>
      </c>
      <c r="Q1" s="13" t="inlineStr">
        <is>
          <t>Achievement_Pct_Monthly</t>
        </is>
      </c>
      <c r="R1" s="13" t="inlineStr">
        <is>
          <t>Achievement_Pct_Quarterly</t>
        </is>
      </c>
      <c r="S1" s="13" t="inlineStr">
        <is>
          <t>Achievement_Pct_Annual</t>
        </is>
      </c>
      <c r="T1" s="13" t="inlineStr">
        <is>
          <t>TrafficLight_Monthly</t>
        </is>
      </c>
      <c r="U1" s="13" t="inlineStr">
        <is>
          <t>TrafficLight_Quarterly</t>
        </is>
      </c>
      <c r="V1" s="13" t="inlineStr">
        <is>
          <t>TrafficLight_Annual</t>
        </is>
      </c>
      <c r="W1" s="13" t="inlineStr">
        <is>
          <t>DataSource</t>
        </is>
      </c>
      <c r="X1" s="13" t="inlineStr">
        <is>
          <t>Formula_Reference</t>
        </is>
      </c>
      <c r="Y1" s="13" t="inlineStr">
        <is>
          <t>Notes</t>
        </is>
      </c>
      <c r="Z1" s="13" t="inlineStr">
        <is>
          <t>CreatedBy</t>
        </is>
      </c>
      <c r="AA1" s="13" t="inlineStr">
        <is>
          <t>CreatedDate</t>
        </is>
      </c>
      <c r="AB1" s="13" t="inlineStr">
        <is>
          <t>LastUpdatedBy</t>
        </is>
      </c>
      <c r="AC1" s="13" t="inlineStr">
        <is>
          <t>LastUpdatedDate</t>
        </is>
      </c>
    </row>
    <row r="2">
      <c r="A2" s="14" t="inlineStr">
        <is>
          <t>KPI-0001</t>
        </is>
      </c>
      <c r="B2" s="14" t="inlineStr">
        <is>
          <t>Registry</t>
        </is>
      </c>
      <c r="C2" s="14" t="inlineStr">
        <is>
          <t>Case Processing Efficiency</t>
        </is>
      </c>
      <c r="D2" s="14" t="inlineStr">
        <is>
          <t>Cases Registered</t>
        </is>
      </c>
      <c r="E2" s="14" t="inlineStr">
        <is>
          <t>Total new cases registered</t>
        </is>
      </c>
      <c r="F2" s="14" t="inlineStr">
        <is>
          <t>Monthly</t>
        </is>
      </c>
      <c r="G2" s="14" t="n"/>
      <c r="H2" s="14" t="n"/>
      <c r="I2" s="14" t="n"/>
      <c r="J2" s="14" t="n"/>
      <c r="K2" s="14" t="n"/>
      <c r="L2" s="14" t="n"/>
      <c r="M2" s="14" t="n"/>
      <c r="N2" s="14">
        <f>IF(OR(K2="",H2=""),"",K2-H2)</f>
        <v/>
      </c>
      <c r="O2" s="14">
        <f>IF(OR(L2="",I2=""),"",L2-I2)</f>
        <v/>
      </c>
      <c r="P2" s="14">
        <f>IF(OR(M2="",J2=""),"",M2-J2)</f>
        <v/>
      </c>
      <c r="Q2" s="16">
        <f>IF(OR(K2="",H2="",H2=0),"",K2/H2)</f>
        <v/>
      </c>
      <c r="R2" s="16">
        <f>IF(OR(L2="",I2="",I2=0),"",L2/I2)</f>
        <v/>
      </c>
      <c r="S2" s="16">
        <f>IF(OR(M2="",J2="",J2=0),"",M2/J2)</f>
        <v/>
      </c>
      <c r="T2" s="14">
        <f>IF(Q2="","",IF(Q2&gt;=0.9,"On Track",IF(Q2&gt;=0.7,"At Risk","Off Track")))</f>
        <v/>
      </c>
      <c r="U2" s="14">
        <f>IF(R2="","",IF(R2&gt;=0.9,"On Track",IF(R2&gt;=0.7,"At Risk","Off Track")))</f>
        <v/>
      </c>
      <c r="V2" s="14">
        <f>IF(S2="","",IF(S2&gt;=0.9,"On Track",IF(S2&gt;=0.7,"At Risk","Off Track")))</f>
        <v/>
      </c>
      <c r="W2" s="14" t="inlineStr">
        <is>
          <t>tbl_Cases</t>
        </is>
      </c>
      <c r="X2" s="14" t="n"/>
      <c r="Y2" s="14" t="n"/>
      <c r="Z2" s="14" t="n"/>
      <c r="AA2" s="14" t="n"/>
      <c r="AB2" s="14" t="n"/>
      <c r="AC2" s="14" t="n"/>
    </row>
    <row r="3">
      <c r="A3" s="14" t="inlineStr">
        <is>
          <t>KPI-0002</t>
        </is>
      </c>
      <c r="B3" s="14" t="inlineStr">
        <is>
          <t>Registry</t>
        </is>
      </c>
      <c r="C3" s="14" t="inlineStr">
        <is>
          <t>Case Processing Efficiency</t>
        </is>
      </c>
      <c r="D3" s="14" t="inlineStr">
        <is>
          <t>CR Compliance Rate</t>
        </is>
      </c>
      <c r="E3" s="14" t="inlineStr">
        <is>
          <t>% of cases with compliant CR1/CR2/CR5</t>
        </is>
      </c>
      <c r="F3" s="14" t="inlineStr">
        <is>
          <t>Monthly</t>
        </is>
      </c>
      <c r="G3" s="14" t="n"/>
      <c r="H3" s="14" t="n"/>
      <c r="I3" s="14" t="n"/>
      <c r="J3" s="14" t="n"/>
      <c r="K3" s="14" t="n"/>
      <c r="L3" s="14" t="n"/>
      <c r="M3" s="14" t="n"/>
      <c r="N3" s="14">
        <f>IF(OR(K3="",H3=""),"",K3-H3)</f>
        <v/>
      </c>
      <c r="O3" s="14">
        <f>IF(OR(L3="",I3=""),"",L3-I3)</f>
        <v/>
      </c>
      <c r="P3" s="14">
        <f>IF(OR(M3="",J3=""),"",M3-J3)</f>
        <v/>
      </c>
      <c r="Q3" s="16">
        <f>IF(OR(K3="",H3="",H3=0),"",K3/H3)</f>
        <v/>
      </c>
      <c r="R3" s="16">
        <f>IF(OR(L3="",I3="",I3=0),"",L3/I3)</f>
        <v/>
      </c>
      <c r="S3" s="16">
        <f>IF(OR(M3="",J3="",J3=0),"",M3/J3)</f>
        <v/>
      </c>
      <c r="T3" s="14">
        <f>IF(Q3="","",IF(Q3&gt;=0.9,"On Track",IF(Q3&gt;=0.7,"At Risk","Off Track")))</f>
        <v/>
      </c>
      <c r="U3" s="14">
        <f>IF(R3="","",IF(R3&gt;=0.9,"On Track",IF(R3&gt;=0.7,"At Risk","Off Track")))</f>
        <v/>
      </c>
      <c r="V3" s="14">
        <f>IF(S3="","",IF(S3&gt;=0.9,"On Track",IF(S3&gt;=0.7,"At Risk","Off Track")))</f>
        <v/>
      </c>
      <c r="W3" s="14" t="inlineStr">
        <is>
          <t>tbl_Cases</t>
        </is>
      </c>
      <c r="X3" s="14" t="n"/>
      <c r="Y3" s="14" t="n"/>
      <c r="Z3" s="14" t="n"/>
      <c r="AA3" s="14" t="n"/>
      <c r="AB3" s="14" t="n"/>
      <c r="AC3" s="14" t="n"/>
    </row>
    <row r="4">
      <c r="A4" s="14" t="inlineStr">
        <is>
          <t>KPI-0003</t>
        </is>
      </c>
      <c r="B4" s="14" t="inlineStr">
        <is>
          <t>Registry</t>
        </is>
      </c>
      <c r="C4" s="14" t="inlineStr">
        <is>
          <t>Case Processing Efficiency</t>
        </is>
      </c>
      <c r="D4" s="14" t="inlineStr">
        <is>
          <t>Avg Days to First Action</t>
        </is>
      </c>
      <c r="E4" s="14" t="inlineStr">
        <is>
          <t>Average days from registration to first action</t>
        </is>
      </c>
      <c r="F4" s="14" t="inlineStr">
        <is>
          <t>Monthly</t>
        </is>
      </c>
      <c r="G4" s="14" t="n"/>
      <c r="H4" s="14" t="n"/>
      <c r="I4" s="14" t="n"/>
      <c r="J4" s="14" t="n"/>
      <c r="K4" s="14" t="n"/>
      <c r="L4" s="14" t="n"/>
      <c r="M4" s="14" t="n"/>
      <c r="N4" s="14">
        <f>IF(OR(K4="",H4=""),"",K4-H4)</f>
        <v/>
      </c>
      <c r="O4" s="14">
        <f>IF(OR(L4="",I4=""),"",L4-I4)</f>
        <v/>
      </c>
      <c r="P4" s="14">
        <f>IF(OR(M4="",J4=""),"",M4-J4)</f>
        <v/>
      </c>
      <c r="Q4" s="16">
        <f>IF(OR(K4="",H4="",H4=0),"",K4/H4)</f>
        <v/>
      </c>
      <c r="R4" s="16">
        <f>IF(OR(L4="",I4="",I4=0),"",L4/I4)</f>
        <v/>
      </c>
      <c r="S4" s="16">
        <f>IF(OR(M4="",J4="",J4=0),"",M4/J4)</f>
        <v/>
      </c>
      <c r="T4" s="14">
        <f>IF(Q4="","",IF(Q4&gt;=0.9,"On Track",IF(Q4&gt;=0.7,"At Risk","Off Track")))</f>
        <v/>
      </c>
      <c r="U4" s="14">
        <f>IF(R4="","",IF(R4&gt;=0.9,"On Track",IF(R4&gt;=0.7,"At Risk","Off Track")))</f>
        <v/>
      </c>
      <c r="V4" s="14">
        <f>IF(S4="","",IF(S4&gt;=0.9,"On Track",IF(S4&gt;=0.7,"At Risk","Off Track")))</f>
        <v/>
      </c>
      <c r="W4" s="14" t="inlineStr">
        <is>
          <t>tbl_Actions</t>
        </is>
      </c>
      <c r="X4" s="14" t="n"/>
      <c r="Y4" s="14" t="n"/>
      <c r="Z4" s="14" t="n"/>
      <c r="AA4" s="14" t="n"/>
      <c r="AB4" s="14" t="n"/>
      <c r="AC4" s="14" t="n"/>
    </row>
    <row r="5">
      <c r="A5" s="14" t="inlineStr">
        <is>
          <t>KPI-0004</t>
        </is>
      </c>
      <c r="B5" s="14" t="inlineStr">
        <is>
          <t>Investigations</t>
        </is>
      </c>
      <c r="C5" s="14" t="inlineStr">
        <is>
          <t>Case Resolution</t>
        </is>
      </c>
      <c r="D5" s="14" t="inlineStr">
        <is>
          <t>Active Cases</t>
        </is>
      </c>
      <c r="E5" s="14" t="inlineStr">
        <is>
          <t>Number of cases under active investigation</t>
        </is>
      </c>
      <c r="F5" s="14" t="inlineStr">
        <is>
          <t>Monthly</t>
        </is>
      </c>
      <c r="G5" s="14" t="n"/>
      <c r="H5" s="14" t="n"/>
      <c r="I5" s="14" t="n"/>
      <c r="J5" s="14" t="n"/>
      <c r="K5" s="14" t="n"/>
      <c r="L5" s="14" t="n"/>
      <c r="M5" s="14" t="n"/>
      <c r="N5" s="14">
        <f>IF(OR(K5="",H5=""),"",K5-H5)</f>
        <v/>
      </c>
      <c r="O5" s="14">
        <f>IF(OR(L5="",I5=""),"",L5-I5)</f>
        <v/>
      </c>
      <c r="P5" s="14">
        <f>IF(OR(M5="",J5=""),"",M5-J5)</f>
        <v/>
      </c>
      <c r="Q5" s="16">
        <f>IF(OR(K5="",H5="",H5=0),"",K5/H5)</f>
        <v/>
      </c>
      <c r="R5" s="16">
        <f>IF(OR(L5="",I5="",I5=0),"",L5/I5)</f>
        <v/>
      </c>
      <c r="S5" s="16">
        <f>IF(OR(M5="",J5="",J5=0),"",M5/J5)</f>
        <v/>
      </c>
      <c r="T5" s="14">
        <f>IF(Q5="","",IF(Q5&gt;=0.9,"On Track",IF(Q5&gt;=0.7,"At Risk","Off Track")))</f>
        <v/>
      </c>
      <c r="U5" s="14">
        <f>IF(R5="","",IF(R5&gt;=0.9,"On Track",IF(R5&gt;=0.7,"At Risk","Off Track")))</f>
        <v/>
      </c>
      <c r="V5" s="14">
        <f>IF(S5="","",IF(S5&gt;=0.9,"On Track",IF(S5&gt;=0.7,"At Risk","Off Track")))</f>
        <v/>
      </c>
      <c r="W5" s="14" t="inlineStr">
        <is>
          <t>tbl_Cases</t>
        </is>
      </c>
      <c r="X5" s="14" t="n"/>
      <c r="Y5" s="14" t="n"/>
      <c r="Z5" s="14" t="n"/>
      <c r="AA5" s="14" t="n"/>
      <c r="AB5" s="14" t="n"/>
      <c r="AC5" s="14" t="n"/>
    </row>
    <row r="6">
      <c r="A6" s="14" t="inlineStr">
        <is>
          <t>KPI-0005</t>
        </is>
      </c>
      <c r="B6" s="14" t="inlineStr">
        <is>
          <t>Investigations</t>
        </is>
      </c>
      <c r="C6" s="14" t="inlineStr">
        <is>
          <t>Case Resolution</t>
        </is>
      </c>
      <c r="D6" s="14" t="inlineStr">
        <is>
          <t>Cases Closed</t>
        </is>
      </c>
      <c r="E6" s="14" t="inlineStr">
        <is>
          <t>Cases resolved/closed in period</t>
        </is>
      </c>
      <c r="F6" s="14" t="inlineStr">
        <is>
          <t>Monthly</t>
        </is>
      </c>
      <c r="G6" s="14" t="n"/>
      <c r="H6" s="14" t="n"/>
      <c r="I6" s="14" t="n"/>
      <c r="J6" s="14" t="n"/>
      <c r="K6" s="14" t="n"/>
      <c r="L6" s="14" t="n"/>
      <c r="M6" s="14" t="n"/>
      <c r="N6" s="14">
        <f>IF(OR(K6="",H6=""),"",K6-H6)</f>
        <v/>
      </c>
      <c r="O6" s="14">
        <f>IF(OR(L6="",I6=""),"",L6-I6)</f>
        <v/>
      </c>
      <c r="P6" s="14">
        <f>IF(OR(M6="",J6=""),"",M6-J6)</f>
        <v/>
      </c>
      <c r="Q6" s="16">
        <f>IF(OR(K6="",H6="",H6=0),"",K6/H6)</f>
        <v/>
      </c>
      <c r="R6" s="16">
        <f>IF(OR(L6="",I6="",I6=0),"",L6/I6)</f>
        <v/>
      </c>
      <c r="S6" s="16">
        <f>IF(OR(M6="",J6="",J6=0),"",M6/J6)</f>
        <v/>
      </c>
      <c r="T6" s="14">
        <f>IF(Q6="","",IF(Q6&gt;=0.9,"On Track",IF(Q6&gt;=0.7,"At Risk","Off Track")))</f>
        <v/>
      </c>
      <c r="U6" s="14">
        <f>IF(R6="","",IF(R6&gt;=0.9,"On Track",IF(R6&gt;=0.7,"At Risk","Off Track")))</f>
        <v/>
      </c>
      <c r="V6" s="14">
        <f>IF(S6="","",IF(S6&gt;=0.9,"On Track",IF(S6&gt;=0.7,"At Risk","Off Track")))</f>
        <v/>
      </c>
      <c r="W6" s="14" t="inlineStr">
        <is>
          <t>tbl_Cases</t>
        </is>
      </c>
      <c r="X6" s="14" t="n"/>
      <c r="Y6" s="14" t="n"/>
      <c r="Z6" s="14" t="n"/>
      <c r="AA6" s="14" t="n"/>
      <c r="AB6" s="14" t="n"/>
      <c r="AC6" s="14" t="n"/>
    </row>
    <row r="7">
      <c r="A7" s="14" t="inlineStr">
        <is>
          <t>KPI-0006</t>
        </is>
      </c>
      <c r="B7" s="14" t="inlineStr">
        <is>
          <t>Investigations</t>
        </is>
      </c>
      <c r="C7" s="14" t="inlineStr">
        <is>
          <t>Case Resolution</t>
        </is>
      </c>
      <c r="D7" s="14" t="inlineStr">
        <is>
          <t>Case Clearance Rate</t>
        </is>
      </c>
      <c r="E7" s="14" t="inlineStr">
        <is>
          <t>% of cases cleared vs opened</t>
        </is>
      </c>
      <c r="F7" s="14" t="inlineStr">
        <is>
          <t>Monthly</t>
        </is>
      </c>
      <c r="G7" s="14" t="n"/>
      <c r="H7" s="14" t="n"/>
      <c r="I7" s="14" t="n"/>
      <c r="J7" s="14" t="n"/>
      <c r="K7" s="14" t="n"/>
      <c r="L7" s="14" t="n"/>
      <c r="M7" s="14" t="n"/>
      <c r="N7" s="14">
        <f>IF(OR(K7="",H7=""),"",K7-H7)</f>
        <v/>
      </c>
      <c r="O7" s="14">
        <f>IF(OR(L7="",I7=""),"",L7-I7)</f>
        <v/>
      </c>
      <c r="P7" s="14">
        <f>IF(OR(M7="",J7=""),"",M7-J7)</f>
        <v/>
      </c>
      <c r="Q7" s="16">
        <f>IF(OR(K7="",H7="",H7=0),"",K7/H7)</f>
        <v/>
      </c>
      <c r="R7" s="16">
        <f>IF(OR(L7="",I7="",I7=0),"",L7/I7)</f>
        <v/>
      </c>
      <c r="S7" s="16">
        <f>IF(OR(M7="",J7="",J7=0),"",M7/J7)</f>
        <v/>
      </c>
      <c r="T7" s="14">
        <f>IF(Q7="","",IF(Q7&gt;=0.9,"On Track",IF(Q7&gt;=0.7,"At Risk","Off Track")))</f>
        <v/>
      </c>
      <c r="U7" s="14">
        <f>IF(R7="","",IF(R7&gt;=0.9,"On Track",IF(R7&gt;=0.7,"At Risk","Off Track")))</f>
        <v/>
      </c>
      <c r="V7" s="14">
        <f>IF(S7="","",IF(S7&gt;=0.9,"On Track",IF(S7&gt;=0.7,"At Risk","Off Track")))</f>
        <v/>
      </c>
      <c r="W7" s="14" t="inlineStr">
        <is>
          <t>tbl_Cases</t>
        </is>
      </c>
      <c r="X7" s="14" t="n"/>
      <c r="Y7" s="14" t="n"/>
      <c r="Z7" s="14" t="n"/>
      <c r="AA7" s="14" t="n"/>
      <c r="AB7" s="14" t="n"/>
      <c r="AC7" s="14" t="n"/>
    </row>
    <row r="8">
      <c r="A8" s="14" t="inlineStr">
        <is>
          <t>KPI-0007</t>
        </is>
      </c>
      <c r="B8" s="14" t="inlineStr">
        <is>
          <t>Investigations</t>
        </is>
      </c>
      <c r="C8" s="14" t="inlineStr">
        <is>
          <t>Case Resolution</t>
        </is>
      </c>
      <c r="D8" s="14" t="inlineStr">
        <is>
          <t>Supervisory Reviews Done</t>
        </is>
      </c>
      <c r="E8" s="14" t="inlineStr">
        <is>
          <t>Reviews completed on time</t>
        </is>
      </c>
      <c r="F8" s="14" t="inlineStr">
        <is>
          <t>Monthly</t>
        </is>
      </c>
      <c r="G8" s="14" t="n"/>
      <c r="H8" s="14" t="n"/>
      <c r="I8" s="14" t="n"/>
      <c r="J8" s="14" t="n"/>
      <c r="K8" s="14" t="n"/>
      <c r="L8" s="14" t="n"/>
      <c r="M8" s="14" t="n"/>
      <c r="N8" s="14">
        <f>IF(OR(K8="",H8=""),"",K8-H8)</f>
        <v/>
      </c>
      <c r="O8" s="14">
        <f>IF(OR(L8="",I8=""),"",L8-I8)</f>
        <v/>
      </c>
      <c r="P8" s="14">
        <f>IF(OR(M8="",J8=""),"",M8-J8)</f>
        <v/>
      </c>
      <c r="Q8" s="16">
        <f>IF(OR(K8="",H8="",H8=0),"",K8/H8)</f>
        <v/>
      </c>
      <c r="R8" s="16">
        <f>IF(OR(L8="",I8="",I8=0),"",L8/I8)</f>
        <v/>
      </c>
      <c r="S8" s="16">
        <f>IF(OR(M8="",J8="",J8=0),"",M8/J8)</f>
        <v/>
      </c>
      <c r="T8" s="14">
        <f>IF(Q8="","",IF(Q8&gt;=0.9,"On Track",IF(Q8&gt;=0.7,"At Risk","Off Track")))</f>
        <v/>
      </c>
      <c r="U8" s="14">
        <f>IF(R8="","",IF(R8&gt;=0.9,"On Track",IF(R8&gt;=0.7,"At Risk","Off Track")))</f>
        <v/>
      </c>
      <c r="V8" s="14">
        <f>IF(S8="","",IF(S8&gt;=0.9,"On Track",IF(S8&gt;=0.7,"At Risk","Off Track")))</f>
        <v/>
      </c>
      <c r="W8" s="14" t="inlineStr">
        <is>
          <t>tbl_Reviews</t>
        </is>
      </c>
      <c r="X8" s="14" t="n"/>
      <c r="Y8" s="14" t="n"/>
      <c r="Z8" s="14" t="n"/>
      <c r="AA8" s="14" t="n"/>
      <c r="AB8" s="14" t="n"/>
      <c r="AC8" s="14" t="n"/>
    </row>
    <row r="9">
      <c r="A9" s="14" t="inlineStr">
        <is>
          <t>KPI-0008</t>
        </is>
      </c>
      <c r="B9" s="14" t="inlineStr">
        <is>
          <t>Intelligence</t>
        </is>
      </c>
      <c r="C9" s="14" t="inlineStr">
        <is>
          <t>Intelligence Processing</t>
        </is>
      </c>
      <c r="D9" s="14" t="inlineStr">
        <is>
          <t>Leads Received</t>
        </is>
      </c>
      <c r="E9" s="14" t="inlineStr">
        <is>
          <t>Total new leads received</t>
        </is>
      </c>
      <c r="F9" s="14" t="inlineStr">
        <is>
          <t>Monthly</t>
        </is>
      </c>
      <c r="G9" s="14" t="n"/>
      <c r="H9" s="14" t="n"/>
      <c r="I9" s="14" t="n"/>
      <c r="J9" s="14" t="n"/>
      <c r="K9" s="14" t="n"/>
      <c r="L9" s="14" t="n"/>
      <c r="M9" s="14" t="n"/>
      <c r="N9" s="14">
        <f>IF(OR(K9="",H9=""),"",K9-H9)</f>
        <v/>
      </c>
      <c r="O9" s="14">
        <f>IF(OR(L9="",I9=""),"",L9-I9)</f>
        <v/>
      </c>
      <c r="P9" s="14">
        <f>IF(OR(M9="",J9=""),"",M9-J9)</f>
        <v/>
      </c>
      <c r="Q9" s="16">
        <f>IF(OR(K9="",H9="",H9=0),"",K9/H9)</f>
        <v/>
      </c>
      <c r="R9" s="16">
        <f>IF(OR(L9="",I9="",I9=0),"",L9/I9)</f>
        <v/>
      </c>
      <c r="S9" s="16">
        <f>IF(OR(M9="",J9="",J9=0),"",M9/J9)</f>
        <v/>
      </c>
      <c r="T9" s="14">
        <f>IF(Q9="","",IF(Q9&gt;=0.9,"On Track",IF(Q9&gt;=0.7,"At Risk","Off Track")))</f>
        <v/>
      </c>
      <c r="U9" s="14">
        <f>IF(R9="","",IF(R9&gt;=0.9,"On Track",IF(R9&gt;=0.7,"At Risk","Off Track")))</f>
        <v/>
      </c>
      <c r="V9" s="14">
        <f>IF(S9="","",IF(S9&gt;=0.9,"On Track",IF(S9&gt;=0.7,"At Risk","Off Track")))</f>
        <v/>
      </c>
      <c r="W9" s="14" t="inlineStr">
        <is>
          <t>tbl_Leads</t>
        </is>
      </c>
      <c r="X9" s="14" t="n"/>
      <c r="Y9" s="14" t="n"/>
      <c r="Z9" s="14" t="n"/>
      <c r="AA9" s="14" t="n"/>
      <c r="AB9" s="14" t="n"/>
      <c r="AC9" s="14" t="n"/>
    </row>
    <row r="10">
      <c r="A10" s="14" t="inlineStr">
        <is>
          <t>KPI-0009</t>
        </is>
      </c>
      <c r="B10" s="14" t="inlineStr">
        <is>
          <t>Intelligence</t>
        </is>
      </c>
      <c r="C10" s="14" t="inlineStr">
        <is>
          <t>Intelligence Processing</t>
        </is>
      </c>
      <c r="D10" s="14" t="inlineStr">
        <is>
          <t>Leads Triaged &lt; 24hrs</t>
        </is>
      </c>
      <c r="E10" s="14" t="inlineStr">
        <is>
          <t>% of leads triaged within 24 hours</t>
        </is>
      </c>
      <c r="F10" s="14" t="inlineStr">
        <is>
          <t>Monthly</t>
        </is>
      </c>
      <c r="G10" s="14" t="n"/>
      <c r="H10" s="14" t="n"/>
      <c r="I10" s="14" t="n"/>
      <c r="J10" s="14" t="n"/>
      <c r="K10" s="14" t="n"/>
      <c r="L10" s="14" t="n"/>
      <c r="M10" s="14" t="n"/>
      <c r="N10" s="14">
        <f>IF(OR(K10="",H10=""),"",K10-H10)</f>
        <v/>
      </c>
      <c r="O10" s="14">
        <f>IF(OR(L10="",I10=""),"",L10-I10)</f>
        <v/>
      </c>
      <c r="P10" s="14">
        <f>IF(OR(M10="",J10=""),"",M10-J10)</f>
        <v/>
      </c>
      <c r="Q10" s="16">
        <f>IF(OR(K10="",H10="",H10=0),"",K10/H10)</f>
        <v/>
      </c>
      <c r="R10" s="16">
        <f>IF(OR(L10="",I10="",I10=0),"",L10/I10)</f>
        <v/>
      </c>
      <c r="S10" s="16">
        <f>IF(OR(M10="",J10="",J10=0),"",M10/J10)</f>
        <v/>
      </c>
      <c r="T10" s="14">
        <f>IF(Q10="","",IF(Q10&gt;=0.9,"On Track",IF(Q10&gt;=0.7,"At Risk","Off Track")))</f>
        <v/>
      </c>
      <c r="U10" s="14">
        <f>IF(R10="","",IF(R10&gt;=0.9,"On Track",IF(R10&gt;=0.7,"At Risk","Off Track")))</f>
        <v/>
      </c>
      <c r="V10" s="14">
        <f>IF(S10="","",IF(S10&gt;=0.9,"On Track",IF(S10&gt;=0.7,"At Risk","Off Track")))</f>
        <v/>
      </c>
      <c r="W10" s="14" t="inlineStr">
        <is>
          <t>tbl_Leads</t>
        </is>
      </c>
      <c r="X10" s="14" t="n"/>
      <c r="Y10" s="14" t="n"/>
      <c r="Z10" s="14" t="n"/>
      <c r="AA10" s="14" t="n"/>
      <c r="AB10" s="14" t="n"/>
      <c r="AC10" s="14" t="n"/>
    </row>
    <row r="11">
      <c r="A11" s="14" t="inlineStr">
        <is>
          <t>KPI-0010</t>
        </is>
      </c>
      <c r="B11" s="14" t="inlineStr">
        <is>
          <t>Intelligence</t>
        </is>
      </c>
      <c r="C11" s="14" t="inlineStr">
        <is>
          <t>Intelligence Processing</t>
        </is>
      </c>
      <c r="D11" s="14" t="inlineStr">
        <is>
          <t>Lead-to-Case Conversion Rate</t>
        </is>
      </c>
      <c r="E11" s="14" t="inlineStr">
        <is>
          <t>% of leads converted to cases</t>
        </is>
      </c>
      <c r="F11" s="14" t="inlineStr">
        <is>
          <t>Monthly</t>
        </is>
      </c>
      <c r="G11" s="14" t="n"/>
      <c r="H11" s="14" t="n"/>
      <c r="I11" s="14" t="n"/>
      <c r="J11" s="14" t="n"/>
      <c r="K11" s="14" t="n"/>
      <c r="L11" s="14" t="n"/>
      <c r="M11" s="14" t="n"/>
      <c r="N11" s="14">
        <f>IF(OR(K11="",H11=""),"",K11-H11)</f>
        <v/>
      </c>
      <c r="O11" s="14">
        <f>IF(OR(L11="",I11=""),"",L11-I11)</f>
        <v/>
      </c>
      <c r="P11" s="14">
        <f>IF(OR(M11="",J11=""),"",M11-J11)</f>
        <v/>
      </c>
      <c r="Q11" s="16">
        <f>IF(OR(K11="",H11="",H11=0),"",K11/H11)</f>
        <v/>
      </c>
      <c r="R11" s="16">
        <f>IF(OR(L11="",I11="",I11=0),"",L11/I11)</f>
        <v/>
      </c>
      <c r="S11" s="16">
        <f>IF(OR(M11="",J11="",J11=0),"",M11/J11)</f>
        <v/>
      </c>
      <c r="T11" s="14">
        <f>IF(Q11="","",IF(Q11&gt;=0.9,"On Track",IF(Q11&gt;=0.7,"At Risk","Off Track")))</f>
        <v/>
      </c>
      <c r="U11" s="14">
        <f>IF(R11="","",IF(R11&gt;=0.9,"On Track",IF(R11&gt;=0.7,"At Risk","Off Track")))</f>
        <v/>
      </c>
      <c r="V11" s="14">
        <f>IF(S11="","",IF(S11&gt;=0.9,"On Track",IF(S11&gt;=0.7,"At Risk","Off Track")))</f>
        <v/>
      </c>
      <c r="W11" s="14" t="inlineStr">
        <is>
          <t>tbl_Leads</t>
        </is>
      </c>
      <c r="X11" s="14" t="n"/>
      <c r="Y11" s="14" t="n"/>
      <c r="Z11" s="14" t="n"/>
      <c r="AA11" s="14" t="n"/>
      <c r="AB11" s="14" t="n"/>
      <c r="AC11" s="14" t="n"/>
    </row>
    <row r="12">
      <c r="A12" s="14" t="inlineStr">
        <is>
          <t>KPI-0011</t>
        </is>
      </c>
      <c r="B12" s="14" t="inlineStr">
        <is>
          <t>Intelligence</t>
        </is>
      </c>
      <c r="C12" s="14" t="inlineStr">
        <is>
          <t>Intelligence Processing</t>
        </is>
      </c>
      <c r="D12" s="14" t="inlineStr">
        <is>
          <t>Intel Briefings Delivered</t>
        </is>
      </c>
      <c r="E12" s="14" t="inlineStr">
        <is>
          <t>Number of briefings to operations</t>
        </is>
      </c>
      <c r="F12" s="14" t="inlineStr">
        <is>
          <t>Monthly</t>
        </is>
      </c>
      <c r="G12" s="14" t="n"/>
      <c r="H12" s="14" t="n"/>
      <c r="I12" s="14" t="n"/>
      <c r="J12" s="14" t="n"/>
      <c r="K12" s="14" t="n"/>
      <c r="L12" s="14" t="n"/>
      <c r="M12" s="14" t="n"/>
      <c r="N12" s="14">
        <f>IF(OR(K12="",H12=""),"",K12-H12)</f>
        <v/>
      </c>
      <c r="O12" s="14">
        <f>IF(OR(L12="",I12=""),"",L12-I12)</f>
        <v/>
      </c>
      <c r="P12" s="14">
        <f>IF(OR(M12="",J12=""),"",M12-J12)</f>
        <v/>
      </c>
      <c r="Q12" s="16">
        <f>IF(OR(K12="",H12="",H12=0),"",K12/H12)</f>
        <v/>
      </c>
      <c r="R12" s="16">
        <f>IF(OR(L12="",I12="",I12=0),"",L12/I12)</f>
        <v/>
      </c>
      <c r="S12" s="16">
        <f>IF(OR(M12="",J12="",J12=0),"",M12/J12)</f>
        <v/>
      </c>
      <c r="T12" s="14">
        <f>IF(Q12="","",IF(Q12&gt;=0.9,"On Track",IF(Q12&gt;=0.7,"At Risk","Off Track")))</f>
        <v/>
      </c>
      <c r="U12" s="14">
        <f>IF(R12="","",IF(R12&gt;=0.9,"On Track",IF(R12&gt;=0.7,"At Risk","Off Track")))</f>
        <v/>
      </c>
      <c r="V12" s="14">
        <f>IF(S12="","",IF(S12&gt;=0.9,"On Track",IF(S12&gt;=0.7,"At Risk","Off Track")))</f>
        <v/>
      </c>
      <c r="W12" s="14" t="inlineStr">
        <is>
          <t>tbl_IntelBriefings</t>
        </is>
      </c>
      <c r="X12" s="14" t="n"/>
      <c r="Y12" s="14" t="n"/>
      <c r="Z12" s="14" t="n"/>
      <c r="AA12" s="14" t="n"/>
      <c r="AB12" s="14" t="n"/>
      <c r="AC12" s="14" t="n"/>
    </row>
    <row r="13">
      <c r="A13" s="14" t="inlineStr">
        <is>
          <t>KPI-0012</t>
        </is>
      </c>
      <c r="B13" s="14" t="inlineStr">
        <is>
          <t>Operations</t>
        </is>
      </c>
      <c r="C13" s="14" t="inlineStr">
        <is>
          <t>Operational Output</t>
        </is>
      </c>
      <c r="D13" s="14" t="inlineStr">
        <is>
          <t>Total Operations Conducted</t>
        </is>
      </c>
      <c r="E13" s="14" t="inlineStr">
        <is>
          <t>All ops including FCSI</t>
        </is>
      </c>
      <c r="F13" s="14" t="inlineStr">
        <is>
          <t>Monthly</t>
        </is>
      </c>
      <c r="G13" s="14" t="n"/>
      <c r="H13" s="14" t="n"/>
      <c r="I13" s="14" t="n"/>
      <c r="J13" s="14" t="n"/>
      <c r="K13" s="14" t="n"/>
      <c r="L13" s="14" t="n"/>
      <c r="M13" s="14" t="n"/>
      <c r="N13" s="14">
        <f>IF(OR(K13="",H13=""),"",K13-H13)</f>
        <v/>
      </c>
      <c r="O13" s="14">
        <f>IF(OR(L13="",I13=""),"",L13-I13)</f>
        <v/>
      </c>
      <c r="P13" s="14">
        <f>IF(OR(M13="",J13=""),"",M13-J13)</f>
        <v/>
      </c>
      <c r="Q13" s="16">
        <f>IF(OR(K13="",H13="",H13=0),"",K13/H13)</f>
        <v/>
      </c>
      <c r="R13" s="16">
        <f>IF(OR(L13="",I13="",I13=0),"",L13/I13)</f>
        <v/>
      </c>
      <c r="S13" s="16">
        <f>IF(OR(M13="",J13="",J13=0),"",M13/J13)</f>
        <v/>
      </c>
      <c r="T13" s="14">
        <f>IF(Q13="","",IF(Q13&gt;=0.9,"On Track",IF(Q13&gt;=0.7,"At Risk","Off Track")))</f>
        <v/>
      </c>
      <c r="U13" s="14">
        <f>IF(R13="","",IF(R13&gt;=0.9,"On Track",IF(R13&gt;=0.7,"At Risk","Off Track")))</f>
        <v/>
      </c>
      <c r="V13" s="14">
        <f>IF(S13="","",IF(S13&gt;=0.9,"On Track",IF(S13&gt;=0.7,"At Risk","Off Track")))</f>
        <v/>
      </c>
      <c r="W13" s="14" t="inlineStr">
        <is>
          <t>tbl_Operations</t>
        </is>
      </c>
      <c r="X13" s="14" t="n"/>
      <c r="Y13" s="14" t="n"/>
      <c r="Z13" s="14" t="n"/>
      <c r="AA13" s="14" t="n"/>
      <c r="AB13" s="14" t="n"/>
      <c r="AC13" s="14" t="n"/>
    </row>
    <row r="14">
      <c r="A14" s="14" t="inlineStr">
        <is>
          <t>KPI-0013</t>
        </is>
      </c>
      <c r="B14" s="14" t="inlineStr">
        <is>
          <t>Operations</t>
        </is>
      </c>
      <c r="C14" s="14" t="inlineStr">
        <is>
          <t>Operational Output</t>
        </is>
      </c>
      <c r="D14" s="14" t="inlineStr">
        <is>
          <t>FCSI Operations Conducted</t>
        </is>
      </c>
      <c r="E14" s="14" t="inlineStr">
        <is>
          <t>Operations under FCSI flag</t>
        </is>
      </c>
      <c r="F14" s="14" t="inlineStr">
        <is>
          <t>Monthly</t>
        </is>
      </c>
      <c r="G14" s="14" t="n"/>
      <c r="H14" s="14" t="n"/>
      <c r="I14" s="14" t="n"/>
      <c r="J14" s="14" t="n"/>
      <c r="K14" s="14" t="n"/>
      <c r="L14" s="14" t="n"/>
      <c r="M14" s="14" t="n"/>
      <c r="N14" s="14">
        <f>IF(OR(K14="",H14=""),"",K14-H14)</f>
        <v/>
      </c>
      <c r="O14" s="14">
        <f>IF(OR(L14="",I14=""),"",L14-I14)</f>
        <v/>
      </c>
      <c r="P14" s="14">
        <f>IF(OR(M14="",J14=""),"",M14-J14)</f>
        <v/>
      </c>
      <c r="Q14" s="16">
        <f>IF(OR(K14="",H14="",H14=0),"",K14/H14)</f>
        <v/>
      </c>
      <c r="R14" s="16">
        <f>IF(OR(L14="",I14="",I14=0),"",L14/I14)</f>
        <v/>
      </c>
      <c r="S14" s="16">
        <f>IF(OR(M14="",J14="",J14=0),"",M14/J14)</f>
        <v/>
      </c>
      <c r="T14" s="14">
        <f>IF(Q14="","",IF(Q14&gt;=0.9,"On Track",IF(Q14&gt;=0.7,"At Risk","Off Track")))</f>
        <v/>
      </c>
      <c r="U14" s="14">
        <f>IF(R14="","",IF(R14&gt;=0.9,"On Track",IF(R14&gt;=0.7,"At Risk","Off Track")))</f>
        <v/>
      </c>
      <c r="V14" s="14">
        <f>IF(S14="","",IF(S14&gt;=0.9,"On Track",IF(S14&gt;=0.7,"At Risk","Off Track")))</f>
        <v/>
      </c>
      <c r="W14" s="14" t="inlineStr">
        <is>
          <t>tbl_Operations</t>
        </is>
      </c>
      <c r="X14" s="14" t="n"/>
      <c r="Y14" s="14" t="n"/>
      <c r="Z14" s="14" t="n"/>
      <c r="AA14" s="14" t="n"/>
      <c r="AB14" s="14" t="n"/>
      <c r="AC14" s="14" t="n"/>
    </row>
    <row r="15">
      <c r="A15" s="14" t="inlineStr">
        <is>
          <t>KPI-0014</t>
        </is>
      </c>
      <c r="B15" s="14" t="inlineStr">
        <is>
          <t>Operations</t>
        </is>
      </c>
      <c r="C15" s="14" t="inlineStr">
        <is>
          <t>Operational Output</t>
        </is>
      </c>
      <c r="D15" s="14" t="inlineStr">
        <is>
          <t>Firearms Seized</t>
        </is>
      </c>
      <c r="E15" s="14" t="inlineStr">
        <is>
          <t>Total firearms seized from ops</t>
        </is>
      </c>
      <c r="F15" s="14" t="inlineStr">
        <is>
          <t>Monthly</t>
        </is>
      </c>
      <c r="G15" s="14" t="n"/>
      <c r="H15" s="14" t="n"/>
      <c r="I15" s="14" t="n"/>
      <c r="J15" s="14" t="n"/>
      <c r="K15" s="14" t="n"/>
      <c r="L15" s="14" t="n"/>
      <c r="M15" s="14" t="n"/>
      <c r="N15" s="14">
        <f>IF(OR(K15="",H15=""),"",K15-H15)</f>
        <v/>
      </c>
      <c r="O15" s="14">
        <f>IF(OR(L15="",I15=""),"",L15-I15)</f>
        <v/>
      </c>
      <c r="P15" s="14">
        <f>IF(OR(M15="",J15=""),"",M15-J15)</f>
        <v/>
      </c>
      <c r="Q15" s="16">
        <f>IF(OR(K15="",H15="",H15=0),"",K15/H15)</f>
        <v/>
      </c>
      <c r="R15" s="16">
        <f>IF(OR(L15="",I15="",I15=0),"",L15/I15)</f>
        <v/>
      </c>
      <c r="S15" s="16">
        <f>IF(OR(M15="",J15="",J15=0),"",M15/J15)</f>
        <v/>
      </c>
      <c r="T15" s="14">
        <f>IF(Q15="","",IF(Q15&gt;=0.9,"On Track",IF(Q15&gt;=0.7,"At Risk","Off Track")))</f>
        <v/>
      </c>
      <c r="U15" s="14">
        <f>IF(R15="","",IF(R15&gt;=0.9,"On Track",IF(R15&gt;=0.7,"At Risk","Off Track")))</f>
        <v/>
      </c>
      <c r="V15" s="14">
        <f>IF(S15="","",IF(S15&gt;=0.9,"On Track",IF(S15&gt;=0.7,"At Risk","Off Track")))</f>
        <v/>
      </c>
      <c r="W15" s="14" t="inlineStr">
        <is>
          <t>tbl_Operations</t>
        </is>
      </c>
      <c r="X15" s="14" t="n"/>
      <c r="Y15" s="14" t="n"/>
      <c r="Z15" s="14" t="n"/>
      <c r="AA15" s="14" t="n"/>
      <c r="AB15" s="14" t="n"/>
      <c r="AC15" s="14" t="n"/>
    </row>
    <row r="16">
      <c r="A16" s="14" t="inlineStr">
        <is>
          <t>KPI-0015</t>
        </is>
      </c>
      <c r="B16" s="14" t="inlineStr">
        <is>
          <t>Operations</t>
        </is>
      </c>
      <c r="C16" s="14" t="inlineStr">
        <is>
          <t>Operational Output</t>
        </is>
      </c>
      <c r="D16" s="14" t="inlineStr">
        <is>
          <t>Narcotics Seized (kg)</t>
        </is>
      </c>
      <c r="E16" s="14" t="inlineStr">
        <is>
          <t>Total narcotics seized in kg</t>
        </is>
      </c>
      <c r="F16" s="14" t="inlineStr">
        <is>
          <t>Monthly</t>
        </is>
      </c>
      <c r="G16" s="14" t="n"/>
      <c r="H16" s="14" t="n"/>
      <c r="I16" s="14" t="n"/>
      <c r="J16" s="14" t="n"/>
      <c r="K16" s="14" t="n"/>
      <c r="L16" s="14" t="n"/>
      <c r="M16" s="14" t="n"/>
      <c r="N16" s="14">
        <f>IF(OR(K16="",H16=""),"",K16-H16)</f>
        <v/>
      </c>
      <c r="O16" s="14">
        <f>IF(OR(L16="",I16=""),"",L16-I16)</f>
        <v/>
      </c>
      <c r="P16" s="14">
        <f>IF(OR(M16="",J16=""),"",M16-J16)</f>
        <v/>
      </c>
      <c r="Q16" s="16">
        <f>IF(OR(K16="",H16="",H16=0),"",K16/H16)</f>
        <v/>
      </c>
      <c r="R16" s="16">
        <f>IF(OR(L16="",I16="",I16=0),"",L16/I16)</f>
        <v/>
      </c>
      <c r="S16" s="16">
        <f>IF(OR(M16="",J16="",J16=0),"",M16/J16)</f>
        <v/>
      </c>
      <c r="T16" s="14">
        <f>IF(Q16="","",IF(Q16&gt;=0.9,"On Track",IF(Q16&gt;=0.7,"At Risk","Off Track")))</f>
        <v/>
      </c>
      <c r="U16" s="14">
        <f>IF(R16="","",IF(R16&gt;=0.9,"On Track",IF(R16&gt;=0.7,"At Risk","Off Track")))</f>
        <v/>
      </c>
      <c r="V16" s="14">
        <f>IF(S16="","",IF(S16&gt;=0.9,"On Track",IF(S16&gt;=0.7,"At Risk","Off Track")))</f>
        <v/>
      </c>
      <c r="W16" s="14" t="inlineStr">
        <is>
          <t>tbl_Operations</t>
        </is>
      </c>
      <c r="X16" s="14" t="n"/>
      <c r="Y16" s="14" t="n"/>
      <c r="Z16" s="14" t="n"/>
      <c r="AA16" s="14" t="n"/>
      <c r="AB16" s="14" t="n"/>
      <c r="AC16" s="14" t="n"/>
    </row>
    <row r="17">
      <c r="A17" s="14" t="inlineStr">
        <is>
          <t>KPI-0016</t>
        </is>
      </c>
      <c r="B17" s="14" t="inlineStr">
        <is>
          <t>Operations</t>
        </is>
      </c>
      <c r="C17" s="14" t="inlineStr">
        <is>
          <t>Operational Output</t>
        </is>
      </c>
      <c r="D17" s="14" t="inlineStr">
        <is>
          <t>Arrests Made</t>
        </is>
      </c>
      <c r="E17" s="14" t="inlineStr">
        <is>
          <t>Total arrests from operations</t>
        </is>
      </c>
      <c r="F17" s="14" t="inlineStr">
        <is>
          <t>Monthly</t>
        </is>
      </c>
      <c r="G17" s="14" t="n"/>
      <c r="H17" s="14" t="n"/>
      <c r="I17" s="14" t="n"/>
      <c r="J17" s="14" t="n"/>
      <c r="K17" s="14" t="n"/>
      <c r="L17" s="14" t="n"/>
      <c r="M17" s="14" t="n"/>
      <c r="N17" s="14">
        <f>IF(OR(K17="",H17=""),"",K17-H17)</f>
        <v/>
      </c>
      <c r="O17" s="14">
        <f>IF(OR(L17="",I17=""),"",L17-I17)</f>
        <v/>
      </c>
      <c r="P17" s="14">
        <f>IF(OR(M17="",J17=""),"",M17-J17)</f>
        <v/>
      </c>
      <c r="Q17" s="16">
        <f>IF(OR(K17="",H17="",H17=0),"",K17/H17)</f>
        <v/>
      </c>
      <c r="R17" s="16">
        <f>IF(OR(L17="",I17="",I17=0),"",L17/I17)</f>
        <v/>
      </c>
      <c r="S17" s="16">
        <f>IF(OR(M17="",J17="",J17=0),"",M17/J17)</f>
        <v/>
      </c>
      <c r="T17" s="14">
        <f>IF(Q17="","",IF(Q17&gt;=0.9,"On Track",IF(Q17&gt;=0.7,"At Risk","Off Track")))</f>
        <v/>
      </c>
      <c r="U17" s="14">
        <f>IF(R17="","",IF(R17&gt;=0.9,"On Track",IF(R17&gt;=0.7,"At Risk","Off Track")))</f>
        <v/>
      </c>
      <c r="V17" s="14">
        <f>IF(S17="","",IF(S17&gt;=0.9,"On Track",IF(S17&gt;=0.7,"At Risk","Off Track")))</f>
        <v/>
      </c>
      <c r="W17" s="14" t="inlineStr">
        <is>
          <t>tbl_Operations</t>
        </is>
      </c>
      <c r="X17" s="14" t="n"/>
      <c r="Y17" s="14" t="n"/>
      <c r="Z17" s="14" t="n"/>
      <c r="AA17" s="14" t="n"/>
      <c r="AB17" s="14" t="n"/>
      <c r="AC17" s="14" t="n"/>
    </row>
    <row r="18">
      <c r="A18" s="14" t="inlineStr">
        <is>
          <t>KPI-0017</t>
        </is>
      </c>
      <c r="B18" s="14" t="inlineStr">
        <is>
          <t>Operations</t>
        </is>
      </c>
      <c r="C18" s="14" t="inlineStr">
        <is>
          <t>FCSI Effectiveness</t>
        </is>
      </c>
      <c r="D18" s="14" t="inlineStr">
        <is>
          <t>FCSI Positive Outcome Rate</t>
        </is>
      </c>
      <c r="E18" s="14" t="inlineStr">
        <is>
          <t>% of FCSI ops with seizure/arrest</t>
        </is>
      </c>
      <c r="F18" s="14" t="inlineStr">
        <is>
          <t>Monthly</t>
        </is>
      </c>
      <c r="G18" s="14" t="n"/>
      <c r="H18" s="14" t="n"/>
      <c r="I18" s="14" t="n"/>
      <c r="J18" s="14" t="n"/>
      <c r="K18" s="14" t="n"/>
      <c r="L18" s="14" t="n"/>
      <c r="M18" s="14" t="n"/>
      <c r="N18" s="14">
        <f>IF(OR(K18="",H18=""),"",K18-H18)</f>
        <v/>
      </c>
      <c r="O18" s="14">
        <f>IF(OR(L18="",I18=""),"",L18-I18)</f>
        <v/>
      </c>
      <c r="P18" s="14">
        <f>IF(OR(M18="",J18=""),"",M18-J18)</f>
        <v/>
      </c>
      <c r="Q18" s="16">
        <f>IF(OR(K18="",H18="",H18=0),"",K18/H18)</f>
        <v/>
      </c>
      <c r="R18" s="16">
        <f>IF(OR(L18="",I18="",I18=0),"",L18/I18)</f>
        <v/>
      </c>
      <c r="S18" s="16">
        <f>IF(OR(M18="",J18="",J18=0),"",M18/J18)</f>
        <v/>
      </c>
      <c r="T18" s="14">
        <f>IF(Q18="","",IF(Q18&gt;=0.9,"On Track",IF(Q18&gt;=0.7,"At Risk","Off Track")))</f>
        <v/>
      </c>
      <c r="U18" s="14">
        <f>IF(R18="","",IF(R18&gt;=0.9,"On Track",IF(R18&gt;=0.7,"At Risk","Off Track")))</f>
        <v/>
      </c>
      <c r="V18" s="14">
        <f>IF(S18="","",IF(S18&gt;=0.9,"On Track",IF(S18&gt;=0.7,"At Risk","Off Track")))</f>
        <v/>
      </c>
      <c r="W18" s="14" t="inlineStr">
        <is>
          <t>tbl_Operations</t>
        </is>
      </c>
      <c r="X18" s="14" t="n"/>
      <c r="Y18" s="14" t="n"/>
      <c r="Z18" s="14" t="n"/>
      <c r="AA18" s="14" t="n"/>
      <c r="AB18" s="14" t="n"/>
      <c r="AC18" s="14" t="n"/>
    </row>
    <row r="19">
      <c r="A19" s="14" t="inlineStr">
        <is>
          <t>KPI-0018</t>
        </is>
      </c>
      <c r="B19" s="14" t="inlineStr">
        <is>
          <t>Operations</t>
        </is>
      </c>
      <c r="C19" s="14" t="inlineStr">
        <is>
          <t>FCSI Effectiveness</t>
        </is>
      </c>
      <c r="D19" s="14" t="inlineStr">
        <is>
          <t>FCSI Hotspot Coverage</t>
        </is>
      </c>
      <c r="E19" s="14" t="inlineStr">
        <is>
          <t>% of designated hotspots covered</t>
        </is>
      </c>
      <c r="F19" s="14" t="inlineStr">
        <is>
          <t>Monthly</t>
        </is>
      </c>
      <c r="G19" s="14" t="n"/>
      <c r="H19" s="14" t="n"/>
      <c r="I19" s="14" t="n"/>
      <c r="J19" s="14" t="n"/>
      <c r="K19" s="14" t="n"/>
      <c r="L19" s="14" t="n"/>
      <c r="M19" s="14" t="n"/>
      <c r="N19" s="14">
        <f>IF(OR(K19="",H19=""),"",K19-H19)</f>
        <v/>
      </c>
      <c r="O19" s="14">
        <f>IF(OR(L19="",I19=""),"",L19-I19)</f>
        <v/>
      </c>
      <c r="P19" s="14">
        <f>IF(OR(M19="",J19=""),"",M19-J19)</f>
        <v/>
      </c>
      <c r="Q19" s="16">
        <f>IF(OR(K19="",H19="",H19=0),"",K19/H19)</f>
        <v/>
      </c>
      <c r="R19" s="16">
        <f>IF(OR(L19="",I19="",I19=0),"",L19/I19)</f>
        <v/>
      </c>
      <c r="S19" s="16">
        <f>IF(OR(M19="",J19="",J19=0),"",M19/J19)</f>
        <v/>
      </c>
      <c r="T19" s="14">
        <f>IF(Q19="","",IF(Q19&gt;=0.9,"On Track",IF(Q19&gt;=0.7,"At Risk","Off Track")))</f>
        <v/>
      </c>
      <c r="U19" s="14">
        <f>IF(R19="","",IF(R19&gt;=0.9,"On Track",IF(R19&gt;=0.7,"At Risk","Off Track")))</f>
        <v/>
      </c>
      <c r="V19" s="14">
        <f>IF(S19="","",IF(S19&gt;=0.9,"On Track",IF(S19&gt;=0.7,"At Risk","Off Track")))</f>
        <v/>
      </c>
      <c r="W19" s="14" t="inlineStr">
        <is>
          <t>tbl_Operations</t>
        </is>
      </c>
      <c r="X19" s="14" t="n"/>
      <c r="Y19" s="14" t="n"/>
      <c r="Z19" s="14" t="n"/>
      <c r="AA19" s="14" t="n"/>
      <c r="AB19" s="14" t="n"/>
      <c r="AC19" s="14" t="n"/>
    </row>
    <row r="20">
      <c r="A20" s="14" t="inlineStr">
        <is>
          <t>KPI-0019</t>
        </is>
      </c>
      <c r="B20" s="14" t="inlineStr">
        <is>
          <t>Transport</t>
        </is>
      </c>
      <c r="C20" s="14" t="inlineStr">
        <is>
          <t>Fleet Readiness</t>
        </is>
      </c>
      <c r="D20" s="14" t="inlineStr">
        <is>
          <t>Vehicle Availability Rate</t>
        </is>
      </c>
      <c r="E20" s="14" t="inlineStr">
        <is>
          <t>% of fleet available for duty</t>
        </is>
      </c>
      <c r="F20" s="14" t="inlineStr">
        <is>
          <t>Monthly</t>
        </is>
      </c>
      <c r="G20" s="14" t="n"/>
      <c r="H20" s="14" t="n"/>
      <c r="I20" s="14" t="n"/>
      <c r="J20" s="14" t="n"/>
      <c r="K20" s="14" t="n"/>
      <c r="L20" s="14" t="n"/>
      <c r="M20" s="14" t="n"/>
      <c r="N20" s="14">
        <f>IF(OR(K20="",H20=""),"",K20-H20)</f>
        <v/>
      </c>
      <c r="O20" s="14">
        <f>IF(OR(L20="",I20=""),"",L20-I20)</f>
        <v/>
      </c>
      <c r="P20" s="14">
        <f>IF(OR(M20="",J20=""),"",M20-J20)</f>
        <v/>
      </c>
      <c r="Q20" s="16">
        <f>IF(OR(K20="",H20="",H20=0),"",K20/H20)</f>
        <v/>
      </c>
      <c r="R20" s="16">
        <f>IF(OR(L20="",I20="",I20=0),"",L20/I20)</f>
        <v/>
      </c>
      <c r="S20" s="16">
        <f>IF(OR(M20="",J20="",J20=0),"",M20/J20)</f>
        <v/>
      </c>
      <c r="T20" s="14">
        <f>IF(Q20="","",IF(Q20&gt;=0.9,"On Track",IF(Q20&gt;=0.7,"At Risk","Off Track")))</f>
        <v/>
      </c>
      <c r="U20" s="14">
        <f>IF(R20="","",IF(R20&gt;=0.9,"On Track",IF(R20&gt;=0.7,"At Risk","Off Track")))</f>
        <v/>
      </c>
      <c r="V20" s="14">
        <f>IF(S20="","",IF(S20&gt;=0.9,"On Track",IF(S20&gt;=0.7,"At Risk","Off Track")))</f>
        <v/>
      </c>
      <c r="W20" s="14" t="inlineStr">
        <is>
          <t>tbl_Vehicles</t>
        </is>
      </c>
      <c r="X20" s="14" t="n"/>
      <c r="Y20" s="14" t="n"/>
      <c r="Z20" s="14" t="n"/>
      <c r="AA20" s="14" t="n"/>
      <c r="AB20" s="14" t="n"/>
      <c r="AC20" s="14" t="n"/>
    </row>
    <row r="21">
      <c r="A21" s="14" t="inlineStr">
        <is>
          <t>KPI-0020</t>
        </is>
      </c>
      <c r="B21" s="14" t="inlineStr">
        <is>
          <t>Transport</t>
        </is>
      </c>
      <c r="C21" s="14" t="inlineStr">
        <is>
          <t>Fleet Readiness</t>
        </is>
      </c>
      <c r="D21" s="14" t="inlineStr">
        <is>
          <t>Ops Support Coverage</t>
        </is>
      </c>
      <c r="E21" s="14" t="inlineStr">
        <is>
          <t>% of operations with vehicle support</t>
        </is>
      </c>
      <c r="F21" s="14" t="inlineStr">
        <is>
          <t>Monthly</t>
        </is>
      </c>
      <c r="G21" s="14" t="n"/>
      <c r="H21" s="14" t="n"/>
      <c r="I21" s="14" t="n"/>
      <c r="J21" s="14" t="n"/>
      <c r="K21" s="14" t="n"/>
      <c r="L21" s="14" t="n"/>
      <c r="M21" s="14" t="n"/>
      <c r="N21" s="14">
        <f>IF(OR(K21="",H21=""),"",K21-H21)</f>
        <v/>
      </c>
      <c r="O21" s="14">
        <f>IF(OR(L21="",I21=""),"",L21-I21)</f>
        <v/>
      </c>
      <c r="P21" s="14">
        <f>IF(OR(M21="",J21=""),"",M21-J21)</f>
        <v/>
      </c>
      <c r="Q21" s="16">
        <f>IF(OR(K21="",H21="",H21=0),"",K21/H21)</f>
        <v/>
      </c>
      <c r="R21" s="16">
        <f>IF(OR(L21="",I21="",I21=0),"",L21/I21)</f>
        <v/>
      </c>
      <c r="S21" s="16">
        <f>IF(OR(M21="",J21="",J21=0),"",M21/J21)</f>
        <v/>
      </c>
      <c r="T21" s="14">
        <f>IF(Q21="","",IF(Q21&gt;=0.9,"On Track",IF(Q21&gt;=0.7,"At Risk","Off Track")))</f>
        <v/>
      </c>
      <c r="U21" s="14">
        <f>IF(R21="","",IF(R21&gt;=0.9,"On Track",IF(R21&gt;=0.7,"At Risk","Off Track")))</f>
        <v/>
      </c>
      <c r="V21" s="14">
        <f>IF(S21="","",IF(S21&gt;=0.9,"On Track",IF(S21&gt;=0.7,"At Risk","Off Track")))</f>
        <v/>
      </c>
      <c r="W21" s="14" t="inlineStr">
        <is>
          <t>tbl_VehicleUsage</t>
        </is>
      </c>
      <c r="X21" s="14" t="n"/>
      <c r="Y21" s="14" t="n"/>
      <c r="Z21" s="14" t="n"/>
      <c r="AA21" s="14" t="n"/>
      <c r="AB21" s="14" t="n"/>
      <c r="AC21" s="14" t="n"/>
    </row>
    <row r="22">
      <c r="A22" s="14" t="inlineStr">
        <is>
          <t>KPI-0021</t>
        </is>
      </c>
      <c r="B22" s="14" t="inlineStr">
        <is>
          <t>Transport</t>
        </is>
      </c>
      <c r="C22" s="14" t="inlineStr">
        <is>
          <t>Fleet Readiness</t>
        </is>
      </c>
      <c r="D22" s="14" t="inlineStr">
        <is>
          <t>Maintenance Compliance</t>
        </is>
      </c>
      <c r="E22" s="14" t="inlineStr">
        <is>
          <t>% of vehicles serviced on schedule</t>
        </is>
      </c>
      <c r="F22" s="14" t="inlineStr">
        <is>
          <t>Monthly</t>
        </is>
      </c>
      <c r="G22" s="14" t="n"/>
      <c r="H22" s="14" t="n"/>
      <c r="I22" s="14" t="n"/>
      <c r="J22" s="14" t="n"/>
      <c r="K22" s="14" t="n"/>
      <c r="L22" s="14" t="n"/>
      <c r="M22" s="14" t="n"/>
      <c r="N22" s="14">
        <f>IF(OR(K22="",H22=""),"",K22-H22)</f>
        <v/>
      </c>
      <c r="O22" s="14">
        <f>IF(OR(L22="",I22=""),"",L22-I22)</f>
        <v/>
      </c>
      <c r="P22" s="14">
        <f>IF(OR(M22="",J22=""),"",M22-J22)</f>
        <v/>
      </c>
      <c r="Q22" s="16">
        <f>IF(OR(K22="",H22="",H22=0),"",K22/H22)</f>
        <v/>
      </c>
      <c r="R22" s="16">
        <f>IF(OR(L22="",I22="",I22=0),"",L22/I22)</f>
        <v/>
      </c>
      <c r="S22" s="16">
        <f>IF(OR(M22="",J22="",J22=0),"",M22/J22)</f>
        <v/>
      </c>
      <c r="T22" s="14">
        <f>IF(Q22="","",IF(Q22&gt;=0.9,"On Track",IF(Q22&gt;=0.7,"At Risk","Off Track")))</f>
        <v/>
      </c>
      <c r="U22" s="14">
        <f>IF(R22="","",IF(R22&gt;=0.9,"On Track",IF(R22&gt;=0.7,"At Risk","Off Track")))</f>
        <v/>
      </c>
      <c r="V22" s="14">
        <f>IF(S22="","",IF(S22&gt;=0.9,"On Track",IF(S22&gt;=0.7,"At Risk","Off Track")))</f>
        <v/>
      </c>
      <c r="W22" s="14" t="inlineStr">
        <is>
          <t>tbl_Maintenance</t>
        </is>
      </c>
      <c r="X22" s="14" t="n"/>
      <c r="Y22" s="14" t="n"/>
      <c r="Z22" s="14" t="n"/>
      <c r="AA22" s="14" t="n"/>
      <c r="AB22" s="14" t="n"/>
      <c r="AC22" s="14" t="n"/>
    </row>
    <row r="23">
      <c r="A23" s="14" t="inlineStr">
        <is>
          <t>KPI-0022</t>
        </is>
      </c>
      <c r="B23" s="14" t="inlineStr">
        <is>
          <t>Transport</t>
        </is>
      </c>
      <c r="C23" s="14" t="inlineStr">
        <is>
          <t>Fleet Readiness</t>
        </is>
      </c>
      <c r="D23" s="14" t="inlineStr">
        <is>
          <t>Avg Downtime Days</t>
        </is>
      </c>
      <c r="E23" s="14" t="inlineStr">
        <is>
          <t>Average days per vehicle out of service</t>
        </is>
      </c>
      <c r="F23" s="14" t="inlineStr">
        <is>
          <t>Monthly</t>
        </is>
      </c>
      <c r="G23" s="14" t="n"/>
      <c r="H23" s="14" t="n"/>
      <c r="I23" s="14" t="n"/>
      <c r="J23" s="14" t="n"/>
      <c r="K23" s="14" t="n"/>
      <c r="L23" s="14" t="n"/>
      <c r="M23" s="14" t="n"/>
      <c r="N23" s="14">
        <f>IF(OR(K23="",H23=""),"",K23-H23)</f>
        <v/>
      </c>
      <c r="O23" s="14">
        <f>IF(OR(L23="",I23=""),"",L23-I23)</f>
        <v/>
      </c>
      <c r="P23" s="14">
        <f>IF(OR(M23="",J23=""),"",M23-J23)</f>
        <v/>
      </c>
      <c r="Q23" s="16">
        <f>IF(OR(K23="",H23="",H23=0),"",K23/H23)</f>
        <v/>
      </c>
      <c r="R23" s="16">
        <f>IF(OR(L23="",I23="",I23=0),"",L23/I23)</f>
        <v/>
      </c>
      <c r="S23" s="16">
        <f>IF(OR(M23="",J23="",J23=0),"",M23/J23)</f>
        <v/>
      </c>
      <c r="T23" s="14">
        <f>IF(Q23="","",IF(Q23&gt;=0.9,"On Track",IF(Q23&gt;=0.7,"At Risk","Off Track")))</f>
        <v/>
      </c>
      <c r="U23" s="14">
        <f>IF(R23="","",IF(R23&gt;=0.9,"On Track",IF(R23&gt;=0.7,"At Risk","Off Track")))</f>
        <v/>
      </c>
      <c r="V23" s="14">
        <f>IF(S23="","",IF(S23&gt;=0.9,"On Track",IF(S23&gt;=0.7,"At Risk","Off Track")))</f>
        <v/>
      </c>
      <c r="W23" s="14" t="inlineStr">
        <is>
          <t>tbl_Maintenance</t>
        </is>
      </c>
      <c r="X23" s="14" t="n"/>
      <c r="Y23" s="14" t="n"/>
      <c r="Z23" s="14" t="n"/>
      <c r="AA23" s="14" t="n"/>
      <c r="AB23" s="14" t="n"/>
      <c r="AC23" s="14" t="n"/>
    </row>
    <row r="24">
      <c r="A24" s="14" t="inlineStr">
        <is>
          <t>KPI-0023</t>
        </is>
      </c>
      <c r="B24" s="14" t="inlineStr">
        <is>
          <t>Demand Reduction</t>
        </is>
      </c>
      <c r="C24" s="14" t="inlineStr">
        <is>
          <t>Community Outreach</t>
        </is>
      </c>
      <c r="D24" s="14" t="inlineStr">
        <is>
          <t>Lectures Delivered</t>
        </is>
      </c>
      <c r="E24" s="14" t="inlineStr">
        <is>
          <t>Total demand-reduction sessions</t>
        </is>
      </c>
      <c r="F24" s="14" t="inlineStr">
        <is>
          <t>Monthly</t>
        </is>
      </c>
      <c r="G24" s="14" t="n"/>
      <c r="H24" s="14" t="n"/>
      <c r="I24" s="14" t="n"/>
      <c r="J24" s="14" t="n"/>
      <c r="K24" s="14" t="n"/>
      <c r="L24" s="14" t="n"/>
      <c r="M24" s="14" t="n"/>
      <c r="N24" s="14">
        <f>IF(OR(K24="",H24=""),"",K24-H24)</f>
        <v/>
      </c>
      <c r="O24" s="14">
        <f>IF(OR(L24="",I24=""),"",L24-I24)</f>
        <v/>
      </c>
      <c r="P24" s="14">
        <f>IF(OR(M24="",J24=""),"",M24-J24)</f>
        <v/>
      </c>
      <c r="Q24" s="16">
        <f>IF(OR(K24="",H24="",H24=0),"",K24/H24)</f>
        <v/>
      </c>
      <c r="R24" s="16">
        <f>IF(OR(L24="",I24="",I24=0),"",L24/I24)</f>
        <v/>
      </c>
      <c r="S24" s="16">
        <f>IF(OR(M24="",J24="",J24=0),"",M24/J24)</f>
        <v/>
      </c>
      <c r="T24" s="14">
        <f>IF(Q24="","",IF(Q24&gt;=0.9,"On Track",IF(Q24&gt;=0.7,"At Risk","Off Track")))</f>
        <v/>
      </c>
      <c r="U24" s="14">
        <f>IF(R24="","",IF(R24&gt;=0.9,"On Track",IF(R24&gt;=0.7,"At Risk","Off Track")))</f>
        <v/>
      </c>
      <c r="V24" s="14">
        <f>IF(S24="","",IF(S24&gt;=0.9,"On Track",IF(S24&gt;=0.7,"At Risk","Off Track")))</f>
        <v/>
      </c>
      <c r="W24" s="14" t="inlineStr">
        <is>
          <t>tbl_DemandReduction</t>
        </is>
      </c>
      <c r="X24" s="14" t="n"/>
      <c r="Y24" s="14" t="n"/>
      <c r="Z24" s="14" t="n"/>
      <c r="AA24" s="14" t="n"/>
      <c r="AB24" s="14" t="n"/>
      <c r="AC24" s="14" t="n"/>
    </row>
    <row r="25">
      <c r="A25" s="14" t="inlineStr">
        <is>
          <t>KPI-0024</t>
        </is>
      </c>
      <c r="B25" s="14" t="inlineStr">
        <is>
          <t>Demand Reduction</t>
        </is>
      </c>
      <c r="C25" s="14" t="inlineStr">
        <is>
          <t>Community Outreach</t>
        </is>
      </c>
      <c r="D25" s="14" t="inlineStr">
        <is>
          <t>Total Attendance</t>
        </is>
      </c>
      <c r="E25" s="14" t="inlineStr">
        <is>
          <t>Cumulative attendance at sessions</t>
        </is>
      </c>
      <c r="F25" s="14" t="inlineStr">
        <is>
          <t>Monthly</t>
        </is>
      </c>
      <c r="G25" s="14" t="n"/>
      <c r="H25" s="14" t="n"/>
      <c r="I25" s="14" t="n"/>
      <c r="J25" s="14" t="n"/>
      <c r="K25" s="14" t="n"/>
      <c r="L25" s="14" t="n"/>
      <c r="M25" s="14" t="n"/>
      <c r="N25" s="14">
        <f>IF(OR(K25="",H25=""),"",K25-H25)</f>
        <v/>
      </c>
      <c r="O25" s="14">
        <f>IF(OR(L25="",I25=""),"",L25-I25)</f>
        <v/>
      </c>
      <c r="P25" s="14">
        <f>IF(OR(M25="",J25=""),"",M25-J25)</f>
        <v/>
      </c>
      <c r="Q25" s="16">
        <f>IF(OR(K25="",H25="",H25=0),"",K25/H25)</f>
        <v/>
      </c>
      <c r="R25" s="16">
        <f>IF(OR(L25="",I25="",I25=0),"",L25/I25)</f>
        <v/>
      </c>
      <c r="S25" s="16">
        <f>IF(OR(M25="",J25="",J25=0),"",M25/J25)</f>
        <v/>
      </c>
      <c r="T25" s="14">
        <f>IF(Q25="","",IF(Q25&gt;=0.9,"On Track",IF(Q25&gt;=0.7,"At Risk","Off Track")))</f>
        <v/>
      </c>
      <c r="U25" s="14">
        <f>IF(R25="","",IF(R25&gt;=0.9,"On Track",IF(R25&gt;=0.7,"At Risk","Off Track")))</f>
        <v/>
      </c>
      <c r="V25" s="14">
        <f>IF(S25="","",IF(S25&gt;=0.9,"On Track",IF(S25&gt;=0.7,"At Risk","Off Track")))</f>
        <v/>
      </c>
      <c r="W25" s="14" t="inlineStr">
        <is>
          <t>tbl_DemandReduction</t>
        </is>
      </c>
      <c r="X25" s="14" t="n"/>
      <c r="Y25" s="14" t="n"/>
      <c r="Z25" s="14" t="n"/>
      <c r="AA25" s="14" t="n"/>
      <c r="AB25" s="14" t="n"/>
      <c r="AC25" s="14" t="n"/>
    </row>
    <row r="26">
      <c r="A26" s="14" t="inlineStr">
        <is>
          <t>KPI-0025</t>
        </is>
      </c>
      <c r="B26" s="14" t="inlineStr">
        <is>
          <t>Demand Reduction</t>
        </is>
      </c>
      <c r="C26" s="14" t="inlineStr">
        <is>
          <t>Community Outreach</t>
        </is>
      </c>
      <c r="D26" s="14" t="inlineStr">
        <is>
          <t>Communities Reached</t>
        </is>
      </c>
      <c r="E26" s="14" t="inlineStr">
        <is>
          <t>Unique communities with sessions</t>
        </is>
      </c>
      <c r="F26" s="14" t="inlineStr">
        <is>
          <t>Monthly</t>
        </is>
      </c>
      <c r="G26" s="14" t="n"/>
      <c r="H26" s="14" t="n"/>
      <c r="I26" s="14" t="n"/>
      <c r="J26" s="14" t="n"/>
      <c r="K26" s="14" t="n"/>
      <c r="L26" s="14" t="n"/>
      <c r="M26" s="14" t="n"/>
      <c r="N26" s="14">
        <f>IF(OR(K26="",H26=""),"",K26-H26)</f>
        <v/>
      </c>
      <c r="O26" s="14">
        <f>IF(OR(L26="",I26=""),"",L26-I26)</f>
        <v/>
      </c>
      <c r="P26" s="14">
        <f>IF(OR(M26="",J26=""),"",M26-J26)</f>
        <v/>
      </c>
      <c r="Q26" s="16">
        <f>IF(OR(K26="",H26="",H26=0),"",K26/H26)</f>
        <v/>
      </c>
      <c r="R26" s="16">
        <f>IF(OR(L26="",I26="",I26=0),"",L26/I26)</f>
        <v/>
      </c>
      <c r="S26" s="16">
        <f>IF(OR(M26="",J26="",J26=0),"",M26/J26)</f>
        <v/>
      </c>
      <c r="T26" s="14">
        <f>IF(Q26="","",IF(Q26&gt;=0.9,"On Track",IF(Q26&gt;=0.7,"At Risk","Off Track")))</f>
        <v/>
      </c>
      <c r="U26" s="14">
        <f>IF(R26="","",IF(R26&gt;=0.9,"On Track",IF(R26&gt;=0.7,"At Risk","Off Track")))</f>
        <v/>
      </c>
      <c r="V26" s="14">
        <f>IF(S26="","",IF(S26&gt;=0.9,"On Track",IF(S26&gt;=0.7,"At Risk","Off Track")))</f>
        <v/>
      </c>
      <c r="W26" s="14" t="inlineStr">
        <is>
          <t>tbl_DemandReduction</t>
        </is>
      </c>
      <c r="X26" s="14" t="n"/>
      <c r="Y26" s="14" t="n"/>
      <c r="Z26" s="14" t="n"/>
      <c r="AA26" s="14" t="n"/>
      <c r="AB26" s="14" t="n"/>
      <c r="AC26" s="14" t="n"/>
    </row>
    <row r="27">
      <c r="A27" s="14" t="inlineStr">
        <is>
          <t>KPI-0026</t>
        </is>
      </c>
      <c r="B27" s="14" t="inlineStr">
        <is>
          <t>Admin/HRM</t>
        </is>
      </c>
      <c r="C27" s="14" t="inlineStr">
        <is>
          <t>Human Resources</t>
        </is>
      </c>
      <c r="D27" s="14" t="inlineStr">
        <is>
          <t>Personnel Strength</t>
        </is>
      </c>
      <c r="E27" s="14" t="inlineStr">
        <is>
          <t>Current staffing level</t>
        </is>
      </c>
      <c r="F27" s="14" t="inlineStr">
        <is>
          <t>Monthly</t>
        </is>
      </c>
      <c r="G27" s="14" t="n"/>
      <c r="H27" s="14" t="n"/>
      <c r="I27" s="14" t="n"/>
      <c r="J27" s="14" t="n"/>
      <c r="K27" s="14" t="n"/>
      <c r="L27" s="14" t="n"/>
      <c r="M27" s="14" t="n"/>
      <c r="N27" s="14">
        <f>IF(OR(K27="",H27=""),"",K27-H27)</f>
        <v/>
      </c>
      <c r="O27" s="14">
        <f>IF(OR(L27="",I27=""),"",L27-I27)</f>
        <v/>
      </c>
      <c r="P27" s="14">
        <f>IF(OR(M27="",J27=""),"",M27-J27)</f>
        <v/>
      </c>
      <c r="Q27" s="16">
        <f>IF(OR(K27="",H27="",H27=0),"",K27/H27)</f>
        <v/>
      </c>
      <c r="R27" s="16">
        <f>IF(OR(L27="",I27="",I27=0),"",L27/I27)</f>
        <v/>
      </c>
      <c r="S27" s="16">
        <f>IF(OR(M27="",J27="",J27=0),"",M27/J27)</f>
        <v/>
      </c>
      <c r="T27" s="14">
        <f>IF(Q27="","",IF(Q27&gt;=0.9,"On Track",IF(Q27&gt;=0.7,"At Risk","Off Track")))</f>
        <v/>
      </c>
      <c r="U27" s="14">
        <f>IF(R27="","",IF(R27&gt;=0.9,"On Track",IF(R27&gt;=0.7,"At Risk","Off Track")))</f>
        <v/>
      </c>
      <c r="V27" s="14">
        <f>IF(S27="","",IF(S27&gt;=0.9,"On Track",IF(S27&gt;=0.7,"At Risk","Off Track")))</f>
        <v/>
      </c>
      <c r="W27" s="14" t="inlineStr">
        <is>
          <t>Manual</t>
        </is>
      </c>
      <c r="X27" s="14" t="n"/>
      <c r="Y27" s="14" t="n"/>
      <c r="Z27" s="14" t="n"/>
      <c r="AA27" s="14" t="n"/>
      <c r="AB27" s="14" t="n"/>
      <c r="AC27" s="14" t="n"/>
    </row>
    <row r="28">
      <c r="A28" s="14" t="inlineStr">
        <is>
          <t>KPI-0027</t>
        </is>
      </c>
      <c r="B28" s="14" t="inlineStr">
        <is>
          <t>Admin/HRM</t>
        </is>
      </c>
      <c r="C28" s="14" t="inlineStr">
        <is>
          <t>Human Resources</t>
        </is>
      </c>
      <c r="D28" s="14" t="inlineStr">
        <is>
          <t>Vacancy Rate</t>
        </is>
      </c>
      <c r="E28" s="14" t="inlineStr">
        <is>
          <t>% of positions unfilled</t>
        </is>
      </c>
      <c r="F28" s="14" t="inlineStr">
        <is>
          <t>Monthly</t>
        </is>
      </c>
      <c r="G28" s="14" t="n"/>
      <c r="H28" s="14" t="n"/>
      <c r="I28" s="14" t="n"/>
      <c r="J28" s="14" t="n"/>
      <c r="K28" s="14" t="n"/>
      <c r="L28" s="14" t="n"/>
      <c r="M28" s="14" t="n"/>
      <c r="N28" s="14">
        <f>IF(OR(K28="",H28=""),"",K28-H28)</f>
        <v/>
      </c>
      <c r="O28" s="14">
        <f>IF(OR(L28="",I28=""),"",L28-I28)</f>
        <v/>
      </c>
      <c r="P28" s="14">
        <f>IF(OR(M28="",J28=""),"",M28-J28)</f>
        <v/>
      </c>
      <c r="Q28" s="16">
        <f>IF(OR(K28="",H28="",H28=0),"",K28/H28)</f>
        <v/>
      </c>
      <c r="R28" s="16">
        <f>IF(OR(L28="",I28="",I28=0),"",L28/I28)</f>
        <v/>
      </c>
      <c r="S28" s="16">
        <f>IF(OR(M28="",J28="",J28=0),"",M28/J28)</f>
        <v/>
      </c>
      <c r="T28" s="14">
        <f>IF(Q28="","",IF(Q28&gt;=0.9,"On Track",IF(Q28&gt;=0.7,"At Risk","Off Track")))</f>
        <v/>
      </c>
      <c r="U28" s="14">
        <f>IF(R28="","",IF(R28&gt;=0.9,"On Track",IF(R28&gt;=0.7,"At Risk","Off Track")))</f>
        <v/>
      </c>
      <c r="V28" s="14">
        <f>IF(S28="","",IF(S28&gt;=0.9,"On Track",IF(S28&gt;=0.7,"At Risk","Off Track")))</f>
        <v/>
      </c>
      <c r="W28" s="14" t="inlineStr">
        <is>
          <t>Manual</t>
        </is>
      </c>
      <c r="X28" s="14" t="n"/>
      <c r="Y28" s="14" t="n"/>
      <c r="Z28" s="14" t="n"/>
      <c r="AA28" s="14" t="n"/>
      <c r="AB28" s="14" t="n"/>
      <c r="AC28" s="14" t="n"/>
    </row>
    <row r="29">
      <c r="A29" s="14" t="inlineStr">
        <is>
          <t>KPI-0028</t>
        </is>
      </c>
      <c r="B29" s="14" t="inlineStr">
        <is>
          <t>Training</t>
        </is>
      </c>
      <c r="C29" s="14" t="inlineStr">
        <is>
          <t>Capacity Building</t>
        </is>
      </c>
      <c r="D29" s="14" t="inlineStr">
        <is>
          <t>Training Sessions Conducted</t>
        </is>
      </c>
      <c r="E29" s="14" t="inlineStr">
        <is>
          <t>In-service training sessions</t>
        </is>
      </c>
      <c r="F29" s="14" t="inlineStr">
        <is>
          <t>Monthly</t>
        </is>
      </c>
      <c r="G29" s="14" t="n"/>
      <c r="H29" s="14" t="n"/>
      <c r="I29" s="14" t="n"/>
      <c r="J29" s="14" t="n"/>
      <c r="K29" s="14" t="n"/>
      <c r="L29" s="14" t="n"/>
      <c r="M29" s="14" t="n"/>
      <c r="N29" s="14">
        <f>IF(OR(K29="",H29=""),"",K29-H29)</f>
        <v/>
      </c>
      <c r="O29" s="14">
        <f>IF(OR(L29="",I29=""),"",L29-I29)</f>
        <v/>
      </c>
      <c r="P29" s="14">
        <f>IF(OR(M29="",J29=""),"",M29-J29)</f>
        <v/>
      </c>
      <c r="Q29" s="16">
        <f>IF(OR(K29="",H29="",H29=0),"",K29/H29)</f>
        <v/>
      </c>
      <c r="R29" s="16">
        <f>IF(OR(L29="",I29="",I29=0),"",L29/I29)</f>
        <v/>
      </c>
      <c r="S29" s="16">
        <f>IF(OR(M29="",J29="",J29=0),"",M29/J29)</f>
        <v/>
      </c>
      <c r="T29" s="14">
        <f>IF(Q29="","",IF(Q29&gt;=0.9,"On Track",IF(Q29&gt;=0.7,"At Risk","Off Track")))</f>
        <v/>
      </c>
      <c r="U29" s="14">
        <f>IF(R29="","",IF(R29&gt;=0.9,"On Track",IF(R29&gt;=0.7,"At Risk","Off Track")))</f>
        <v/>
      </c>
      <c r="V29" s="14">
        <f>IF(S29="","",IF(S29&gt;=0.9,"On Track",IF(S29&gt;=0.7,"At Risk","Off Track")))</f>
        <v/>
      </c>
      <c r="W29" s="14" t="inlineStr">
        <is>
          <t>Manual</t>
        </is>
      </c>
      <c r="X29" s="14" t="n"/>
      <c r="Y29" s="14" t="n"/>
      <c r="Z29" s="14" t="n"/>
      <c r="AA29" s="14" t="n"/>
      <c r="AB29" s="14" t="n"/>
      <c r="AC29" s="14" t="n"/>
    </row>
    <row r="30">
      <c r="A30" s="14" t="inlineStr">
        <is>
          <t>KPI-0029</t>
        </is>
      </c>
      <c r="B30" s="14" t="inlineStr">
        <is>
          <t>Training</t>
        </is>
      </c>
      <c r="C30" s="14" t="inlineStr">
        <is>
          <t>Capacity Building</t>
        </is>
      </c>
      <c r="D30" s="14" t="inlineStr">
        <is>
          <t>Personnel Trained</t>
        </is>
      </c>
      <c r="E30" s="14" t="inlineStr">
        <is>
          <t>Number of officers trained</t>
        </is>
      </c>
      <c r="F30" s="14" t="inlineStr">
        <is>
          <t>Monthly</t>
        </is>
      </c>
      <c r="G30" s="14" t="n"/>
      <c r="H30" s="14" t="n"/>
      <c r="I30" s="14" t="n"/>
      <c r="J30" s="14" t="n"/>
      <c r="K30" s="14" t="n"/>
      <c r="L30" s="14" t="n"/>
      <c r="M30" s="14" t="n"/>
      <c r="N30" s="14">
        <f>IF(OR(K30="",H30=""),"",K30-H30)</f>
        <v/>
      </c>
      <c r="O30" s="14">
        <f>IF(OR(L30="",I30=""),"",L30-I30)</f>
        <v/>
      </c>
      <c r="P30" s="14">
        <f>IF(OR(M30="",J30=""),"",M30-J30)</f>
        <v/>
      </c>
      <c r="Q30" s="16">
        <f>IF(OR(K30="",H30="",H30=0),"",K30/H30)</f>
        <v/>
      </c>
      <c r="R30" s="16">
        <f>IF(OR(L30="",I30="",I30=0),"",L30/I30)</f>
        <v/>
      </c>
      <c r="S30" s="16">
        <f>IF(OR(M30="",J30="",J30=0),"",M30/J30)</f>
        <v/>
      </c>
      <c r="T30" s="14">
        <f>IF(Q30="","",IF(Q30&gt;=0.9,"On Track",IF(Q30&gt;=0.7,"At Risk","Off Track")))</f>
        <v/>
      </c>
      <c r="U30" s="14">
        <f>IF(R30="","",IF(R30&gt;=0.9,"On Track",IF(R30&gt;=0.7,"At Risk","Off Track")))</f>
        <v/>
      </c>
      <c r="V30" s="14">
        <f>IF(S30="","",IF(S30&gt;=0.9,"On Track",IF(S30&gt;=0.7,"At Risk","Off Track")))</f>
        <v/>
      </c>
      <c r="W30" s="14" t="inlineStr">
        <is>
          <t>Manual</t>
        </is>
      </c>
      <c r="X30" s="14" t="n"/>
      <c r="Y30" s="14" t="n"/>
      <c r="Z30" s="14" t="n"/>
      <c r="AA30" s="14" t="n"/>
      <c r="AB30" s="14" t="n"/>
      <c r="AC30" s="14" t="n"/>
    </row>
    <row r="31">
      <c r="A31" s="14" t="inlineStr">
        <is>
          <t>KPI-0030</t>
        </is>
      </c>
      <c r="B31" s="14" t="inlineStr">
        <is>
          <t>Oversight</t>
        </is>
      </c>
      <c r="C31" s="14" t="inlineStr">
        <is>
          <t>Compliance &amp; Governance</t>
        </is>
      </c>
      <c r="D31" s="14" t="inlineStr">
        <is>
          <t>Non-Conformities Identified</t>
        </is>
      </c>
      <c r="E31" s="14" t="inlineStr">
        <is>
          <t>Total compliance issues found</t>
        </is>
      </c>
      <c r="F31" s="14" t="inlineStr">
        <is>
          <t>Monthly</t>
        </is>
      </c>
      <c r="G31" s="14" t="n"/>
      <c r="H31" s="14" t="n"/>
      <c r="I31" s="14" t="n"/>
      <c r="J31" s="14" t="n"/>
      <c r="K31" s="14" t="n"/>
      <c r="L31" s="14" t="n"/>
      <c r="M31" s="14" t="n"/>
      <c r="N31" s="14">
        <f>IF(OR(K31="",H31=""),"",K31-H31)</f>
        <v/>
      </c>
      <c r="O31" s="14">
        <f>IF(OR(L31="",I31=""),"",L31-I31)</f>
        <v/>
      </c>
      <c r="P31" s="14">
        <f>IF(OR(M31="",J31=""),"",M31-J31)</f>
        <v/>
      </c>
      <c r="Q31" s="16">
        <f>IF(OR(K31="",H31="",H31=0),"",K31/H31)</f>
        <v/>
      </c>
      <c r="R31" s="16">
        <f>IF(OR(L31="",I31="",I31=0),"",L31/I31)</f>
        <v/>
      </c>
      <c r="S31" s="16">
        <f>IF(OR(M31="",J31="",J31=0),"",M31/J31)</f>
        <v/>
      </c>
      <c r="T31" s="14">
        <f>IF(Q31="","",IF(Q31&gt;=0.9,"On Track",IF(Q31&gt;=0.7,"At Risk","Off Track")))</f>
        <v/>
      </c>
      <c r="U31" s="14">
        <f>IF(R31="","",IF(R31&gt;=0.9,"On Track",IF(R31&gt;=0.7,"At Risk","Off Track")))</f>
        <v/>
      </c>
      <c r="V31" s="14">
        <f>IF(S31="","",IF(S31&gt;=0.9,"On Track",IF(S31&gt;=0.7,"At Risk","Off Track")))</f>
        <v/>
      </c>
      <c r="W31" s="14" t="inlineStr">
        <is>
          <t>Manual</t>
        </is>
      </c>
      <c r="X31" s="14" t="n"/>
      <c r="Y31" s="14" t="n"/>
      <c r="Z31" s="14" t="n"/>
      <c r="AA31" s="14" t="n"/>
      <c r="AB31" s="14" t="n"/>
      <c r="AC31" s="14" t="n"/>
    </row>
    <row r="32">
      <c r="A32" s="14" t="inlineStr">
        <is>
          <t>KPI-0031</t>
        </is>
      </c>
      <c r="B32" s="14" t="inlineStr">
        <is>
          <t>Oversight</t>
        </is>
      </c>
      <c r="C32" s="14" t="inlineStr">
        <is>
          <t>Compliance &amp; Governance</t>
        </is>
      </c>
      <c r="D32" s="14" t="inlineStr">
        <is>
          <t>Overdue Actions</t>
        </is>
      </c>
      <c r="E32" s="14" t="inlineStr">
        <is>
          <t>Count of overdue action items</t>
        </is>
      </c>
      <c r="F32" s="14" t="inlineStr">
        <is>
          <t>Monthly</t>
        </is>
      </c>
      <c r="G32" s="14" t="n"/>
      <c r="H32" s="14" t="n"/>
      <c r="I32" s="14" t="n"/>
      <c r="J32" s="14" t="n"/>
      <c r="K32" s="14" t="n"/>
      <c r="L32" s="14" t="n"/>
      <c r="M32" s="14" t="n"/>
      <c r="N32" s="14">
        <f>IF(OR(K32="",H32=""),"",K32-H32)</f>
        <v/>
      </c>
      <c r="O32" s="14">
        <f>IF(OR(L32="",I32=""),"",L32-I32)</f>
        <v/>
      </c>
      <c r="P32" s="14">
        <f>IF(OR(M32="",J32=""),"",M32-J32)</f>
        <v/>
      </c>
      <c r="Q32" s="16">
        <f>IF(OR(K32="",H32="",H32=0),"",K32/H32)</f>
        <v/>
      </c>
      <c r="R32" s="16">
        <f>IF(OR(L32="",I32="",I32=0),"",L32/I32)</f>
        <v/>
      </c>
      <c r="S32" s="16">
        <f>IF(OR(M32="",J32="",J32=0),"",M32/J32)</f>
        <v/>
      </c>
      <c r="T32" s="14">
        <f>IF(Q32="","",IF(Q32&gt;=0.9,"On Track",IF(Q32&gt;=0.7,"At Risk","Off Track")))</f>
        <v/>
      </c>
      <c r="U32" s="14">
        <f>IF(R32="","",IF(R32&gt;=0.9,"On Track",IF(R32&gt;=0.7,"At Risk","Off Track")))</f>
        <v/>
      </c>
      <c r="V32" s="14">
        <f>IF(S32="","",IF(S32&gt;=0.9,"On Track",IF(S32&gt;=0.7,"At Risk","Off Track")))</f>
        <v/>
      </c>
      <c r="W32" s="14" t="inlineStr">
        <is>
          <t>tbl_Actions</t>
        </is>
      </c>
      <c r="X32" s="14" t="n"/>
      <c r="Y32" s="14" t="n"/>
      <c r="Z32" s="14" t="n"/>
      <c r="AA32" s="14" t="n"/>
      <c r="AB32" s="14" t="n"/>
      <c r="AC32" s="14" t="n"/>
    </row>
    <row r="33">
      <c r="A33" s="14" t="inlineStr">
        <is>
          <t>KPI-0032</t>
        </is>
      </c>
      <c r="B33" s="14" t="inlineStr">
        <is>
          <t>Oversight</t>
        </is>
      </c>
      <c r="C33" s="14" t="inlineStr">
        <is>
          <t>Compliance &amp; Governance</t>
        </is>
      </c>
      <c r="D33" s="14" t="inlineStr">
        <is>
          <t>KPIs Off Track</t>
        </is>
      </c>
      <c r="E33" s="14" t="inlineStr">
        <is>
          <t>Number of KPIs rated Off Track</t>
        </is>
      </c>
      <c r="F33" s="14" t="inlineStr">
        <is>
          <t>Monthly</t>
        </is>
      </c>
      <c r="G33" s="14" t="n"/>
      <c r="H33" s="14" t="n"/>
      <c r="I33" s="14" t="n"/>
      <c r="J33" s="14" t="n"/>
      <c r="K33" s="14" t="n"/>
      <c r="L33" s="14" t="n"/>
      <c r="M33" s="14" t="n"/>
      <c r="N33" s="14">
        <f>IF(OR(K33="",H33=""),"",K33-H33)</f>
        <v/>
      </c>
      <c r="O33" s="14">
        <f>IF(OR(L33="",I33=""),"",L33-I33)</f>
        <v/>
      </c>
      <c r="P33" s="14">
        <f>IF(OR(M33="",J33=""),"",M33-J33)</f>
        <v/>
      </c>
      <c r="Q33" s="16">
        <f>IF(OR(K33="",H33="",H33=0),"",K33/H33)</f>
        <v/>
      </c>
      <c r="R33" s="16">
        <f>IF(OR(L33="",I33="",I33=0),"",L33/I33)</f>
        <v/>
      </c>
      <c r="S33" s="16">
        <f>IF(OR(M33="",J33="",J33=0),"",M33/J33)</f>
        <v/>
      </c>
      <c r="T33" s="14">
        <f>IF(Q33="","",IF(Q33&gt;=0.9,"On Track",IF(Q33&gt;=0.7,"At Risk","Off Track")))</f>
        <v/>
      </c>
      <c r="U33" s="14">
        <f>IF(R33="","",IF(R33&gt;=0.9,"On Track",IF(R33&gt;=0.7,"At Risk","Off Track")))</f>
        <v/>
      </c>
      <c r="V33" s="14">
        <f>IF(S33="","",IF(S33&gt;=0.9,"On Track",IF(S33&gt;=0.7,"At Risk","Off Track")))</f>
        <v/>
      </c>
      <c r="W33" s="14" t="inlineStr">
        <is>
          <t>tbl_UnitPlans</t>
        </is>
      </c>
      <c r="X33" s="14" t="n"/>
      <c r="Y33" s="14" t="n"/>
      <c r="Z33" s="14" t="n"/>
      <c r="AA33" s="14" t="n"/>
      <c r="AB33" s="14" t="n"/>
      <c r="AC33" s="14" t="n"/>
    </row>
    <row r="34">
      <c r="A34" s="14" t="inlineStr">
        <is>
          <t>KPI-0033</t>
        </is>
      </c>
      <c r="B34" s="14" t="inlineStr">
        <is>
          <t>Investigations</t>
        </is>
      </c>
      <c r="C34" s="14" t="inlineStr">
        <is>
          <t>Court Readiness</t>
        </is>
      </c>
      <c r="D34" s="14" t="inlineStr">
        <is>
          <t>Court Dates Attended</t>
        </is>
      </c>
      <c r="E34" s="14" t="inlineStr">
        <is>
          <t>Scheduled hearings attended</t>
        </is>
      </c>
      <c r="F34" s="14" t="inlineStr">
        <is>
          <t>Monthly</t>
        </is>
      </c>
      <c r="G34" s="14" t="n"/>
      <c r="H34" s="14" t="n"/>
      <c r="I34" s="14" t="n"/>
      <c r="J34" s="14" t="n"/>
      <c r="K34" s="14" t="n"/>
      <c r="L34" s="14" t="n"/>
      <c r="M34" s="14" t="n"/>
      <c r="N34" s="14">
        <f>IF(OR(K34="",H34=""),"",K34-H34)</f>
        <v/>
      </c>
      <c r="O34" s="14">
        <f>IF(OR(L34="",I34=""),"",L34-I34)</f>
        <v/>
      </c>
      <c r="P34" s="14">
        <f>IF(OR(M34="",J34=""),"",M34-J34)</f>
        <v/>
      </c>
      <c r="Q34" s="16">
        <f>IF(OR(K34="",H34="",H34=0),"",K34/H34)</f>
        <v/>
      </c>
      <c r="R34" s="16">
        <f>IF(OR(L34="",I34="",I34=0),"",L34/I34)</f>
        <v/>
      </c>
      <c r="S34" s="16">
        <f>IF(OR(M34="",J34="",J34=0),"",M34/J34)</f>
        <v/>
      </c>
      <c r="T34" s="14">
        <f>IF(Q34="","",IF(Q34&gt;=0.9,"On Track",IF(Q34&gt;=0.7,"At Risk","Off Track")))</f>
        <v/>
      </c>
      <c r="U34" s="14">
        <f>IF(R34="","",IF(R34&gt;=0.9,"On Track",IF(R34&gt;=0.7,"At Risk","Off Track")))</f>
        <v/>
      </c>
      <c r="V34" s="14">
        <f>IF(S34="","",IF(S34&gt;=0.9,"On Track",IF(S34&gt;=0.7,"At Risk","Off Track")))</f>
        <v/>
      </c>
      <c r="W34" s="14" t="inlineStr">
        <is>
          <t>tbl_CourtDates</t>
        </is>
      </c>
      <c r="X34" s="14" t="n"/>
      <c r="Y34" s="14" t="n"/>
      <c r="Z34" s="14" t="n"/>
      <c r="AA34" s="14" t="n"/>
      <c r="AB34" s="14" t="n"/>
      <c r="AC34" s="14" t="n"/>
    </row>
    <row r="35">
      <c r="A35" s="14" t="inlineStr">
        <is>
          <t>KPI-0034</t>
        </is>
      </c>
      <c r="B35" s="14" t="inlineStr">
        <is>
          <t>Investigations</t>
        </is>
      </c>
      <c r="C35" s="14" t="inlineStr">
        <is>
          <t>Court Readiness</t>
        </is>
      </c>
      <c r="D35" s="14" t="inlineStr">
        <is>
          <t>Conviction Rate</t>
        </is>
      </c>
      <c r="E35" s="14" t="inlineStr">
        <is>
          <t>% of court outcomes resulting in conviction</t>
        </is>
      </c>
      <c r="F35" s="14" t="inlineStr">
        <is>
          <t>Monthly</t>
        </is>
      </c>
      <c r="G35" s="14" t="n"/>
      <c r="H35" s="14" t="n"/>
      <c r="I35" s="14" t="n"/>
      <c r="J35" s="14" t="n"/>
      <c r="K35" s="14" t="n"/>
      <c r="L35" s="14" t="n"/>
      <c r="M35" s="14" t="n"/>
      <c r="N35" s="14">
        <f>IF(OR(K35="",H35=""),"",K35-H35)</f>
        <v/>
      </c>
      <c r="O35" s="14">
        <f>IF(OR(L35="",I35=""),"",L35-I35)</f>
        <v/>
      </c>
      <c r="P35" s="14">
        <f>IF(OR(M35="",J35=""),"",M35-J35)</f>
        <v/>
      </c>
      <c r="Q35" s="16">
        <f>IF(OR(K35="",H35="",H35=0),"",K35/H35)</f>
        <v/>
      </c>
      <c r="R35" s="16">
        <f>IF(OR(L35="",I35="",I35=0),"",L35/I35)</f>
        <v/>
      </c>
      <c r="S35" s="16">
        <f>IF(OR(M35="",J35="",J35=0),"",M35/J35)</f>
        <v/>
      </c>
      <c r="T35" s="14">
        <f>IF(Q35="","",IF(Q35&gt;=0.9,"On Track",IF(Q35&gt;=0.7,"At Risk","Off Track")))</f>
        <v/>
      </c>
      <c r="U35" s="14">
        <f>IF(R35="","",IF(R35&gt;=0.9,"On Track",IF(R35&gt;=0.7,"At Risk","Off Track")))</f>
        <v/>
      </c>
      <c r="V35" s="14">
        <f>IF(S35="","",IF(S35&gt;=0.9,"On Track",IF(S35&gt;=0.7,"At Risk","Off Track")))</f>
        <v/>
      </c>
      <c r="W35" s="14" t="inlineStr">
        <is>
          <t>tbl_CourtDates</t>
        </is>
      </c>
      <c r="X35" s="14" t="n"/>
      <c r="Y35" s="14" t="n"/>
      <c r="Z35" s="14" t="n"/>
      <c r="AA35" s="14" t="n"/>
      <c r="AB35" s="14" t="n"/>
      <c r="AC35" s="14" t="n"/>
    </row>
    <row r="36">
      <c r="A36" s="14" t="inlineStr">
        <is>
          <t>KPI-0035</t>
        </is>
      </c>
      <c r="B36" s="14" t="inlineStr">
        <is>
          <t>Operations</t>
        </is>
      </c>
      <c r="C36" s="14" t="inlineStr">
        <is>
          <t>Arrest Quality</t>
        </is>
      </c>
      <c r="D36" s="14" t="inlineStr">
        <is>
          <t>Arrest-to-Charge Rate</t>
        </is>
      </c>
      <c r="E36" s="14" t="inlineStr">
        <is>
          <t>% of arrests with charges filed</t>
        </is>
      </c>
      <c r="F36" s="14" t="inlineStr">
        <is>
          <t>Monthly</t>
        </is>
      </c>
      <c r="G36" s="14" t="n"/>
      <c r="H36" s="14" t="n"/>
      <c r="I36" s="14" t="n"/>
      <c r="J36" s="14" t="n"/>
      <c r="K36" s="14" t="n"/>
      <c r="L36" s="14" t="n"/>
      <c r="M36" s="14" t="n"/>
      <c r="N36" s="14">
        <f>IF(OR(K36="",H36=""),"",K36-H36)</f>
        <v/>
      </c>
      <c r="O36" s="14">
        <f>IF(OR(L36="",I36=""),"",L36-I36)</f>
        <v/>
      </c>
      <c r="P36" s="14">
        <f>IF(OR(M36="",J36=""),"",M36-J36)</f>
        <v/>
      </c>
      <c r="Q36" s="16">
        <f>IF(OR(K36="",H36="",H36=0),"",K36/H36)</f>
        <v/>
      </c>
      <c r="R36" s="16">
        <f>IF(OR(L36="",I36="",I36=0),"",L36/I36)</f>
        <v/>
      </c>
      <c r="S36" s="16">
        <f>IF(OR(M36="",J36="",J36=0),"",M36/J36)</f>
        <v/>
      </c>
      <c r="T36" s="14">
        <f>IF(Q36="","",IF(Q36&gt;=0.9,"On Track",IF(Q36&gt;=0.7,"At Risk","Off Track")))</f>
        <v/>
      </c>
      <c r="U36" s="14">
        <f>IF(R36="","",IF(R36&gt;=0.9,"On Track",IF(R36&gt;=0.7,"At Risk","Off Track")))</f>
        <v/>
      </c>
      <c r="V36" s="14">
        <f>IF(S36="","",IF(S36&gt;=0.9,"On Track",IF(S36&gt;=0.7,"At Risk","Off Track")))</f>
        <v/>
      </c>
      <c r="W36" s="14" t="inlineStr">
        <is>
          <t>tbl_Arrests</t>
        </is>
      </c>
      <c r="X36" s="14" t="n"/>
      <c r="Y36" s="14" t="n"/>
      <c r="Z36" s="14" t="n"/>
      <c r="AA36" s="14" t="n"/>
      <c r="AB36" s="14" t="n"/>
      <c r="AC36" s="14" t="n"/>
    </row>
    <row r="37">
      <c r="A37" s="14" t="inlineStr">
        <is>
          <t>KPI-0036</t>
        </is>
      </c>
      <c r="B37" s="14" t="inlineStr">
        <is>
          <t>Operations</t>
        </is>
      </c>
      <c r="C37" s="14" t="inlineStr">
        <is>
          <t>Seizure Effectiveness</t>
        </is>
      </c>
      <c r="D37" s="14" t="inlineStr">
        <is>
          <t>Items Seized per Op</t>
        </is>
      </c>
      <c r="E37" s="14" t="inlineStr">
        <is>
          <t>Avg seized items per operation</t>
        </is>
      </c>
      <c r="F37" s="14" t="inlineStr">
        <is>
          <t>Monthly</t>
        </is>
      </c>
      <c r="G37" s="14" t="n"/>
      <c r="H37" s="14" t="n"/>
      <c r="I37" s="14" t="n"/>
      <c r="J37" s="14" t="n"/>
      <c r="K37" s="14" t="n"/>
      <c r="L37" s="14" t="n"/>
      <c r="M37" s="14" t="n"/>
      <c r="N37" s="14">
        <f>IF(OR(K37="",H37=""),"",K37-H37)</f>
        <v/>
      </c>
      <c r="O37" s="14">
        <f>IF(OR(L37="",I37=""),"",L37-I37)</f>
        <v/>
      </c>
      <c r="P37" s="14">
        <f>IF(OR(M37="",J37=""),"",M37-J37)</f>
        <v/>
      </c>
      <c r="Q37" s="16">
        <f>IF(OR(K37="",H37="",H37=0),"",K37/H37)</f>
        <v/>
      </c>
      <c r="R37" s="16">
        <f>IF(OR(L37="",I37="",I37=0),"",L37/I37)</f>
        <v/>
      </c>
      <c r="S37" s="16">
        <f>IF(OR(M37="",J37="",J37=0),"",M37/J37)</f>
        <v/>
      </c>
      <c r="T37" s="14">
        <f>IF(Q37="","",IF(Q37&gt;=0.9,"On Track",IF(Q37&gt;=0.7,"At Risk","Off Track")))</f>
        <v/>
      </c>
      <c r="U37" s="14">
        <f>IF(R37="","",IF(R37&gt;=0.9,"On Track",IF(R37&gt;=0.7,"At Risk","Off Track")))</f>
        <v/>
      </c>
      <c r="V37" s="14">
        <f>IF(S37="","",IF(S37&gt;=0.9,"On Track",IF(S37&gt;=0.7,"At Risk","Off Track")))</f>
        <v/>
      </c>
      <c r="W37" s="14" t="inlineStr">
        <is>
          <t>tbl_Seizures</t>
        </is>
      </c>
      <c r="X37" s="14" t="n"/>
      <c r="Y37" s="14" t="n"/>
      <c r="Z37" s="14" t="n"/>
      <c r="AA37" s="14" t="n"/>
      <c r="AB37" s="14" t="n"/>
      <c r="AC37" s="14" t="n"/>
    </row>
    <row r="38">
      <c r="A38" s="14" t="inlineStr">
        <is>
          <t>KPI-0037</t>
        </is>
      </c>
      <c r="B38" s="14" t="inlineStr">
        <is>
          <t>Intelligence</t>
        </is>
      </c>
      <c r="C38" s="14" t="inlineStr">
        <is>
          <t>Informant Management</t>
        </is>
      </c>
      <c r="D38" s="14" t="inlineStr">
        <is>
          <t>Active Informants</t>
        </is>
      </c>
      <c r="E38" s="14" t="inlineStr">
        <is>
          <t>Number of active registered informants</t>
        </is>
      </c>
      <c r="F38" s="14" t="inlineStr">
        <is>
          <t>Monthly</t>
        </is>
      </c>
      <c r="G38" s="14" t="n"/>
      <c r="H38" s="14" t="n"/>
      <c r="I38" s="14" t="n"/>
      <c r="J38" s="14" t="n"/>
      <c r="K38" s="14" t="n"/>
      <c r="L38" s="14" t="n"/>
      <c r="M38" s="14" t="n"/>
      <c r="N38" s="14">
        <f>IF(OR(K38="",H38=""),"",K38-H38)</f>
        <v/>
      </c>
      <c r="O38" s="14">
        <f>IF(OR(L38="",I38=""),"",L38-I38)</f>
        <v/>
      </c>
      <c r="P38" s="14">
        <f>IF(OR(M38="",J38=""),"",M38-J38)</f>
        <v/>
      </c>
      <c r="Q38" s="16">
        <f>IF(OR(K38="",H38="",H38=0),"",K38/H38)</f>
        <v/>
      </c>
      <c r="R38" s="16">
        <f>IF(OR(L38="",I38="",I38=0),"",L38/I38)</f>
        <v/>
      </c>
      <c r="S38" s="16">
        <f>IF(OR(M38="",J38="",J38=0),"",M38/J38)</f>
        <v/>
      </c>
      <c r="T38" s="14">
        <f>IF(Q38="","",IF(Q38&gt;=0.9,"On Track",IF(Q38&gt;=0.7,"At Risk","Off Track")))</f>
        <v/>
      </c>
      <c r="U38" s="14">
        <f>IF(R38="","",IF(R38&gt;=0.9,"On Track",IF(R38&gt;=0.7,"At Risk","Off Track")))</f>
        <v/>
      </c>
      <c r="V38" s="14">
        <f>IF(S38="","",IF(S38&gt;=0.9,"On Track",IF(S38&gt;=0.7,"At Risk","Off Track")))</f>
        <v/>
      </c>
      <c r="W38" s="14" t="inlineStr">
        <is>
          <t>tbl_Informants</t>
        </is>
      </c>
      <c r="X38" s="14" t="n"/>
      <c r="Y38" s="14" t="n"/>
      <c r="Z38" s="14" t="n"/>
      <c r="AA38" s="14" t="n"/>
      <c r="AB38" s="14" t="n"/>
      <c r="AC38" s="14" t="n"/>
    </row>
    <row r="39">
      <c r="A39" s="14" t="inlineStr">
        <is>
          <t>KPI-0038</t>
        </is>
      </c>
      <c r="B39" s="14" t="inlineStr">
        <is>
          <t>Intelligence</t>
        </is>
      </c>
      <c r="C39" s="14" t="inlineStr">
        <is>
          <t>Informant Management</t>
        </is>
      </c>
      <c r="D39" s="14" t="inlineStr">
        <is>
          <t>Informant Tip Conversion %</t>
        </is>
      </c>
      <c r="E39" s="14" t="inlineStr">
        <is>
          <t>% of informant tips converted</t>
        </is>
      </c>
      <c r="F39" s="14" t="inlineStr">
        <is>
          <t>Monthly</t>
        </is>
      </c>
      <c r="G39" s="14" t="n"/>
      <c r="H39" s="14" t="n"/>
      <c r="I39" s="14" t="n"/>
      <c r="J39" s="14" t="n"/>
      <c r="K39" s="14" t="n"/>
      <c r="L39" s="14" t="n"/>
      <c r="M39" s="14" t="n"/>
      <c r="N39" s="14">
        <f>IF(OR(K39="",H39=""),"",K39-H39)</f>
        <v/>
      </c>
      <c r="O39" s="14">
        <f>IF(OR(L39="",I39=""),"",L39-I39)</f>
        <v/>
      </c>
      <c r="P39" s="14">
        <f>IF(OR(M39="",J39=""),"",M39-J39)</f>
        <v/>
      </c>
      <c r="Q39" s="16">
        <f>IF(OR(K39="",H39="",H39=0),"",K39/H39)</f>
        <v/>
      </c>
      <c r="R39" s="16">
        <f>IF(OR(L39="",I39="",I39=0),"",L39/I39)</f>
        <v/>
      </c>
      <c r="S39" s="16">
        <f>IF(OR(M39="",J39="",J39=0),"",M39/J39)</f>
        <v/>
      </c>
      <c r="T39" s="14">
        <f>IF(Q39="","",IF(Q39&gt;=0.9,"On Track",IF(Q39&gt;=0.7,"At Risk","Off Track")))</f>
        <v/>
      </c>
      <c r="U39" s="14">
        <f>IF(R39="","",IF(R39&gt;=0.9,"On Track",IF(R39&gt;=0.7,"At Risk","Off Track")))</f>
        <v/>
      </c>
      <c r="V39" s="14">
        <f>IF(S39="","",IF(S39&gt;=0.9,"On Track",IF(S39&gt;=0.7,"At Risk","Off Track")))</f>
        <v/>
      </c>
      <c r="W39" s="14" t="inlineStr">
        <is>
          <t>tbl_Informants</t>
        </is>
      </c>
      <c r="X39" s="14" t="n"/>
      <c r="Y39" s="14" t="n"/>
      <c r="Z39" s="14" t="n"/>
      <c r="AA39" s="14" t="n"/>
      <c r="AB39" s="14" t="n"/>
      <c r="AC39" s="14" t="n"/>
    </row>
    <row r="40">
      <c r="A40" s="14" t="inlineStr">
        <is>
          <t>KPI-0039</t>
        </is>
      </c>
      <c r="B40" s="14" t="inlineStr">
        <is>
          <t>Admin/HRM</t>
        </is>
      </c>
      <c r="C40" s="14" t="inlineStr">
        <is>
          <t>Workforce Readiness</t>
        </is>
      </c>
      <c r="D40" s="14" t="inlineStr">
        <is>
          <t>Duty Roster Completion</t>
        </is>
      </c>
      <c r="E40" s="14" t="inlineStr">
        <is>
          <t>% of shifts filled vs required</t>
        </is>
      </c>
      <c r="F40" s="14" t="inlineStr">
        <is>
          <t>Monthly</t>
        </is>
      </c>
      <c r="G40" s="14" t="n"/>
      <c r="H40" s="14" t="n"/>
      <c r="I40" s="14" t="n"/>
      <c r="J40" s="14" t="n"/>
      <c r="K40" s="14" t="n"/>
      <c r="L40" s="14" t="n"/>
      <c r="M40" s="14" t="n"/>
      <c r="N40" s="14">
        <f>IF(OR(K40="",H40=""),"",K40-H40)</f>
        <v/>
      </c>
      <c r="O40" s="14">
        <f>IF(OR(L40="",I40=""),"",L40-I40)</f>
        <v/>
      </c>
      <c r="P40" s="14">
        <f>IF(OR(M40="",J40=""),"",M40-J40)</f>
        <v/>
      </c>
      <c r="Q40" s="16">
        <f>IF(OR(K40="",H40="",H40=0),"",K40/H40)</f>
        <v/>
      </c>
      <c r="R40" s="16">
        <f>IF(OR(L40="",I40="",I40=0),"",L40/I40)</f>
        <v/>
      </c>
      <c r="S40" s="16">
        <f>IF(OR(M40="",J40="",J40=0),"",M40/J40)</f>
        <v/>
      </c>
      <c r="T40" s="14">
        <f>IF(Q40="","",IF(Q40&gt;=0.9,"On Track",IF(Q40&gt;=0.7,"At Risk","Off Track")))</f>
        <v/>
      </c>
      <c r="U40" s="14">
        <f>IF(R40="","",IF(R40&gt;=0.9,"On Track",IF(R40&gt;=0.7,"At Risk","Off Track")))</f>
        <v/>
      </c>
      <c r="V40" s="14">
        <f>IF(S40="","",IF(S40&gt;=0.9,"On Track",IF(S40&gt;=0.7,"At Risk","Off Track")))</f>
        <v/>
      </c>
      <c r="W40" s="14" t="inlineStr">
        <is>
          <t>tbl_DutyRoster</t>
        </is>
      </c>
      <c r="X40" s="14" t="n"/>
      <c r="Y40" s="14" t="n"/>
      <c r="Z40" s="14" t="n"/>
      <c r="AA40" s="14" t="n"/>
      <c r="AB40" s="14" t="n"/>
      <c r="AC40" s="14" t="n"/>
    </row>
    <row r="41">
      <c r="A41" s="14" t="inlineStr">
        <is>
          <t>KPI-0040</t>
        </is>
      </c>
      <c r="B41" s="14" t="inlineStr">
        <is>
          <t>Admin/HRM</t>
        </is>
      </c>
      <c r="C41" s="14" t="inlineStr">
        <is>
          <t>Workforce Readiness</t>
        </is>
      </c>
      <c r="D41" s="14" t="inlineStr">
        <is>
          <t>Training Compliance Rate</t>
        </is>
      </c>
      <c r="E41" s="14" t="inlineStr">
        <is>
          <t>% of personnel with current training</t>
        </is>
      </c>
      <c r="F41" s="14" t="inlineStr">
        <is>
          <t>Monthly</t>
        </is>
      </c>
      <c r="G41" s="14" t="n"/>
      <c r="H41" s="14" t="n"/>
      <c r="I41" s="14" t="n"/>
      <c r="J41" s="14" t="n"/>
      <c r="K41" s="14" t="n"/>
      <c r="L41" s="14" t="n"/>
      <c r="M41" s="14" t="n"/>
      <c r="N41" s="14">
        <f>IF(OR(K41="",H41=""),"",K41-H41)</f>
        <v/>
      </c>
      <c r="O41" s="14">
        <f>IF(OR(L41="",I41=""),"",L41-I41)</f>
        <v/>
      </c>
      <c r="P41" s="14">
        <f>IF(OR(M41="",J41=""),"",M41-J41)</f>
        <v/>
      </c>
      <c r="Q41" s="16">
        <f>IF(OR(K41="",H41="",H41=0),"",K41/H41)</f>
        <v/>
      </c>
      <c r="R41" s="16">
        <f>IF(OR(L41="",I41="",I41=0),"",L41/I41)</f>
        <v/>
      </c>
      <c r="S41" s="16">
        <f>IF(OR(M41="",J41="",J41=0),"",M41/J41)</f>
        <v/>
      </c>
      <c r="T41" s="14">
        <f>IF(Q41="","",IF(Q41&gt;=0.9,"On Track",IF(Q41&gt;=0.7,"At Risk","Off Track")))</f>
        <v/>
      </c>
      <c r="U41" s="14">
        <f>IF(R41="","",IF(R41&gt;=0.9,"On Track",IF(R41&gt;=0.7,"At Risk","Off Track")))</f>
        <v/>
      </c>
      <c r="V41" s="14">
        <f>IF(S41="","",IF(S41&gt;=0.9,"On Track",IF(S41&gt;=0.7,"At Risk","Off Track")))</f>
        <v/>
      </c>
      <c r="W41" s="14" t="inlineStr">
        <is>
          <t>tbl_Personnel</t>
        </is>
      </c>
      <c r="X41" s="14" t="n"/>
      <c r="Y41" s="14" t="n"/>
      <c r="Z41" s="14" t="n"/>
      <c r="AA41" s="14" t="n"/>
      <c r="AB41" s="14" t="n"/>
      <c r="AC41" s="14" t="n"/>
    </row>
    <row r="42">
      <c r="A42" s="14" t="inlineStr">
        <is>
          <t>KPI-0041</t>
        </is>
      </c>
      <c r="B42" s="14" t="inlineStr">
        <is>
          <t>Training</t>
        </is>
      </c>
      <c r="C42" s="14" t="inlineStr">
        <is>
          <t>Capacity Building</t>
        </is>
      </c>
      <c r="D42" s="14" t="inlineStr">
        <is>
          <t>Training Hours Delivered</t>
        </is>
      </c>
      <c r="E42" s="14" t="inlineStr">
        <is>
          <t>Total hours of training delivered</t>
        </is>
      </c>
      <c r="F42" s="14" t="inlineStr">
        <is>
          <t>Monthly</t>
        </is>
      </c>
      <c r="G42" s="14" t="n"/>
      <c r="H42" s="14" t="n"/>
      <c r="I42" s="14" t="n"/>
      <c r="J42" s="14" t="n"/>
      <c r="K42" s="14" t="n"/>
      <c r="L42" s="14" t="n"/>
      <c r="M42" s="14" t="n"/>
      <c r="N42" s="14">
        <f>IF(OR(K42="",H42=""),"",K42-H42)</f>
        <v/>
      </c>
      <c r="O42" s="14">
        <f>IF(OR(L42="",I42=""),"",L42-I42)</f>
        <v/>
      </c>
      <c r="P42" s="14">
        <f>IF(OR(M42="",J42=""),"",M42-J42)</f>
        <v/>
      </c>
      <c r="Q42" s="16">
        <f>IF(OR(K42="",H42="",H42=0),"",K42/H42)</f>
        <v/>
      </c>
      <c r="R42" s="16">
        <f>IF(OR(L42="",I42="",I42=0),"",L42/I42)</f>
        <v/>
      </c>
      <c r="S42" s="16">
        <f>IF(OR(M42="",J42="",J42=0),"",M42/J42)</f>
        <v/>
      </c>
      <c r="T42" s="14">
        <f>IF(Q42="","",IF(Q42&gt;=0.9,"On Track",IF(Q42&gt;=0.7,"At Risk","Off Track")))</f>
        <v/>
      </c>
      <c r="U42" s="14">
        <f>IF(R42="","",IF(R42&gt;=0.9,"On Track",IF(R42&gt;=0.7,"At Risk","Off Track")))</f>
        <v/>
      </c>
      <c r="V42" s="14">
        <f>IF(S42="","",IF(S42&gt;=0.9,"On Track",IF(S42&gt;=0.7,"At Risk","Off Track")))</f>
        <v/>
      </c>
      <c r="W42" s="14" t="inlineStr">
        <is>
          <t>tbl_Training</t>
        </is>
      </c>
      <c r="X42" s="14" t="n"/>
      <c r="Y42" s="14" t="n"/>
      <c r="Z42" s="14" t="n"/>
      <c r="AA42" s="14" t="n"/>
      <c r="AB42" s="14" t="n"/>
      <c r="AC42" s="14" t="n"/>
    </row>
    <row r="43">
      <c r="A43" s="14" t="inlineStr">
        <is>
          <t>KPI-0042</t>
        </is>
      </c>
      <c r="B43" s="14" t="inlineStr">
        <is>
          <t>Training</t>
        </is>
      </c>
      <c r="C43" s="14" t="inlineStr">
        <is>
          <t>Capacity Building</t>
        </is>
      </c>
      <c r="D43" s="14" t="inlineStr">
        <is>
          <t>Training Cost (JMD)</t>
        </is>
      </c>
      <c r="E43" s="14" t="inlineStr">
        <is>
          <t>Total training expenditure</t>
        </is>
      </c>
      <c r="F43" s="14" t="inlineStr">
        <is>
          <t>Monthly</t>
        </is>
      </c>
      <c r="G43" s="14" t="n"/>
      <c r="H43" s="14" t="n"/>
      <c r="I43" s="14" t="n"/>
      <c r="J43" s="14" t="n"/>
      <c r="K43" s="14" t="n"/>
      <c r="L43" s="14" t="n"/>
      <c r="M43" s="14" t="n"/>
      <c r="N43" s="14">
        <f>IF(OR(K43="",H43=""),"",K43-H43)</f>
        <v/>
      </c>
      <c r="O43" s="14">
        <f>IF(OR(L43="",I43=""),"",L43-I43)</f>
        <v/>
      </c>
      <c r="P43" s="14">
        <f>IF(OR(M43="",J43=""),"",M43-J43)</f>
        <v/>
      </c>
      <c r="Q43" s="16">
        <f>IF(OR(K43="",H43="",H43=0),"",K43/H43)</f>
        <v/>
      </c>
      <c r="R43" s="16">
        <f>IF(OR(L43="",I43="",I43=0),"",L43/I43)</f>
        <v/>
      </c>
      <c r="S43" s="16">
        <f>IF(OR(M43="",J43="",J43=0),"",M43/J43)</f>
        <v/>
      </c>
      <c r="T43" s="14">
        <f>IF(Q43="","",IF(Q43&gt;=0.9,"On Track",IF(Q43&gt;=0.7,"At Risk","Off Track")))</f>
        <v/>
      </c>
      <c r="U43" s="14">
        <f>IF(R43="","",IF(R43&gt;=0.9,"On Track",IF(R43&gt;=0.7,"At Risk","Off Track")))</f>
        <v/>
      </c>
      <c r="V43" s="14">
        <f>IF(S43="","",IF(S43&gt;=0.9,"On Track",IF(S43&gt;=0.7,"At Risk","Off Track")))</f>
        <v/>
      </c>
      <c r="W43" s="14" t="inlineStr">
        <is>
          <t>tbl_Training</t>
        </is>
      </c>
      <c r="X43" s="14" t="n"/>
      <c r="Y43" s="14" t="n"/>
      <c r="Z43" s="14" t="n"/>
      <c r="AA43" s="14" t="n"/>
      <c r="AB43" s="14" t="n"/>
      <c r="AC43" s="14" t="n"/>
    </row>
    <row r="44">
      <c r="A44" s="14" t="inlineStr">
        <is>
          <t>KPI-0043</t>
        </is>
      </c>
      <c r="B44" s="14" t="inlineStr">
        <is>
          <t>Oversight</t>
        </is>
      </c>
      <c r="C44" s="14" t="inlineStr">
        <is>
          <t>Evidence Integrity</t>
        </is>
      </c>
      <c r="D44" s="14" t="inlineStr">
        <is>
          <t>Custody Transfers Logged</t>
        </is>
      </c>
      <c r="E44" s="14" t="inlineStr">
        <is>
          <t>Total chain-of-custody transfers</t>
        </is>
      </c>
      <c r="F44" s="14" t="inlineStr">
        <is>
          <t>Monthly</t>
        </is>
      </c>
      <c r="G44" s="14" t="n"/>
      <c r="H44" s="14" t="n"/>
      <c r="I44" s="14" t="n"/>
      <c r="J44" s="14" t="n"/>
      <c r="K44" s="14" t="n"/>
      <c r="L44" s="14" t="n"/>
      <c r="M44" s="14" t="n"/>
      <c r="N44" s="14">
        <f>IF(OR(K44="",H44=""),"",K44-H44)</f>
        <v/>
      </c>
      <c r="O44" s="14">
        <f>IF(OR(L44="",I44=""),"",L44-I44)</f>
        <v/>
      </c>
      <c r="P44" s="14">
        <f>IF(OR(M44="",J44=""),"",M44-J44)</f>
        <v/>
      </c>
      <c r="Q44" s="16">
        <f>IF(OR(K44="",H44="",H44=0),"",K44/H44)</f>
        <v/>
      </c>
      <c r="R44" s="16">
        <f>IF(OR(L44="",I44="",I44=0),"",L44/I44)</f>
        <v/>
      </c>
      <c r="S44" s="16">
        <f>IF(OR(M44="",J44="",J44=0),"",M44/J44)</f>
        <v/>
      </c>
      <c r="T44" s="14">
        <f>IF(Q44="","",IF(Q44&gt;=0.9,"On Track",IF(Q44&gt;=0.7,"At Risk","Off Track")))</f>
        <v/>
      </c>
      <c r="U44" s="14">
        <f>IF(R44="","",IF(R44&gt;=0.9,"On Track",IF(R44&gt;=0.7,"At Risk","Off Track")))</f>
        <v/>
      </c>
      <c r="V44" s="14">
        <f>IF(S44="","",IF(S44&gt;=0.9,"On Track",IF(S44&gt;=0.7,"At Risk","Off Track")))</f>
        <v/>
      </c>
      <c r="W44" s="14" t="inlineStr">
        <is>
          <t>tbl_CustodyTransfers</t>
        </is>
      </c>
      <c r="X44" s="14" t="n"/>
      <c r="Y44" s="14" t="n"/>
      <c r="Z44" s="14" t="n"/>
      <c r="AA44" s="14" t="n"/>
      <c r="AB44" s="14" t="n"/>
      <c r="AC44" s="14" t="n"/>
    </row>
    <row r="45">
      <c r="A45" s="14" t="inlineStr">
        <is>
          <t>KPI-0044</t>
        </is>
      </c>
      <c r="B45" s="14" t="inlineStr">
        <is>
          <t>Oversight</t>
        </is>
      </c>
      <c r="C45" s="14" t="inlineStr">
        <is>
          <t>Evidence Integrity</t>
        </is>
      </c>
      <c r="D45" s="14" t="inlineStr">
        <is>
          <t>Scene Processing Compliance</t>
        </is>
      </c>
      <c r="E45" s="14" t="inlineStr">
        <is>
          <t>Scenes processed per shooting case</t>
        </is>
      </c>
      <c r="F45" s="14" t="inlineStr">
        <is>
          <t>Monthly</t>
        </is>
      </c>
      <c r="G45" s="14" t="n"/>
      <c r="H45" s="14" t="n"/>
      <c r="I45" s="14" t="n"/>
      <c r="J45" s="14" t="n"/>
      <c r="K45" s="14" t="n"/>
      <c r="L45" s="14" t="n"/>
      <c r="M45" s="14" t="n"/>
      <c r="N45" s="14">
        <f>IF(OR(K45="",H45=""),"",K45-H45)</f>
        <v/>
      </c>
      <c r="O45" s="14">
        <f>IF(OR(L45="",I45=""),"",L45-I45)</f>
        <v/>
      </c>
      <c r="P45" s="14">
        <f>IF(OR(M45="",J45=""),"",M45-J45)</f>
        <v/>
      </c>
      <c r="Q45" s="16">
        <f>IF(OR(K45="",H45="",H45=0),"",K45/H45)</f>
        <v/>
      </c>
      <c r="R45" s="16">
        <f>IF(OR(L45="",I45="",I45=0),"",L45/I45)</f>
        <v/>
      </c>
      <c r="S45" s="16">
        <f>IF(OR(M45="",J45="",J45=0),"",M45/J45)</f>
        <v/>
      </c>
      <c r="T45" s="14">
        <f>IF(Q45="","",IF(Q45&gt;=0.9,"On Track",IF(Q45&gt;=0.7,"At Risk","Off Track")))</f>
        <v/>
      </c>
      <c r="U45" s="14">
        <f>IF(R45="","",IF(R45&gt;=0.9,"On Track",IF(R45&gt;=0.7,"At Risk","Off Track")))</f>
        <v/>
      </c>
      <c r="V45" s="14">
        <f>IF(S45="","",IF(S45&gt;=0.9,"On Track",IF(S45&gt;=0.7,"At Risk","Off Track")))</f>
        <v/>
      </c>
      <c r="W45" s="14" t="inlineStr">
        <is>
          <t>tbl_SceneLog</t>
        </is>
      </c>
      <c r="X45" s="14" t="n"/>
      <c r="Y45" s="14" t="n"/>
      <c r="Z45" s="14" t="n"/>
      <c r="AA45" s="14" t="n"/>
      <c r="AB45" s="14" t="n"/>
      <c r="AC45" s="14" t="n"/>
    </row>
    <row r="46">
      <c r="A46" s="14" t="inlineStr">
        <is>
          <t>KPI-0045</t>
        </is>
      </c>
      <c r="B46" s="14" t="inlineStr">
        <is>
          <t>Registry</t>
        </is>
      </c>
      <c r="C46" s="14" t="inlineStr">
        <is>
          <t>SOP Compliance</t>
        </is>
      </c>
      <c r="D46" s="14" t="inlineStr">
        <is>
          <t>Registration SLA Compliance</t>
        </is>
      </c>
      <c r="E46" s="14" t="inlineStr">
        <is>
          <t>% of cases registered within 24hrs of incident</t>
        </is>
      </c>
      <c r="F46" s="14" t="inlineStr">
        <is>
          <t>Monthly</t>
        </is>
      </c>
      <c r="G46" s="14" t="n"/>
      <c r="H46" s="14" t="n"/>
      <c r="I46" s="14" t="n"/>
      <c r="J46" s="14" t="n"/>
      <c r="K46" s="14" t="n"/>
      <c r="L46" s="14" t="n"/>
      <c r="M46" s="14" t="n"/>
      <c r="N46" s="14">
        <f>IF(OR(K46="",H46=""),"",K46-H46)</f>
        <v/>
      </c>
      <c r="O46" s="14">
        <f>IF(OR(L46="",I46=""),"",L46-I46)</f>
        <v/>
      </c>
      <c r="P46" s="14">
        <f>IF(OR(M46="",J46=""),"",M46-J46)</f>
        <v/>
      </c>
      <c r="Q46" s="16">
        <f>IF(OR(K46="",H46="",H46=0),"",K46/H46)</f>
        <v/>
      </c>
      <c r="R46" s="16">
        <f>IF(OR(L46="",I46="",I46=0),"",L46/I46)</f>
        <v/>
      </c>
      <c r="S46" s="16">
        <f>IF(OR(M46="",J46="",J46=0),"",M46/J46)</f>
        <v/>
      </c>
      <c r="T46" s="14">
        <f>IF(Q46="","",IF(Q46&gt;=0.9,"On Track",IF(Q46&gt;=0.7,"At Risk","Off Track")))</f>
        <v/>
      </c>
      <c r="U46" s="14">
        <f>IF(R46="","",IF(R46&gt;=0.9,"On Track",IF(R46&gt;=0.7,"At Risk","Off Track")))</f>
        <v/>
      </c>
      <c r="V46" s="14">
        <f>IF(S46="","",IF(S46&gt;=0.9,"On Track",IF(S46&gt;=0.7,"At Risk","Off Track")))</f>
        <v/>
      </c>
      <c r="W46" s="14" t="inlineStr">
        <is>
          <t>tbl_Cases</t>
        </is>
      </c>
      <c r="X46" s="14" t="n"/>
      <c r="Y46" s="14" t="n"/>
      <c r="Z46" s="14" t="n"/>
      <c r="AA46" s="14" t="n"/>
      <c r="AB46" s="14" t="n"/>
      <c r="AC46" s="14" t="n"/>
    </row>
    <row r="47">
      <c r="A47" s="14" t="inlineStr">
        <is>
          <t>KPI-0046</t>
        </is>
      </c>
      <c r="B47" s="14" t="inlineStr">
        <is>
          <t>Registry</t>
        </is>
      </c>
      <c r="C47" s="14" t="inlineStr">
        <is>
          <t>SOP Compliance</t>
        </is>
      </c>
      <c r="D47" s="14" t="inlineStr">
        <is>
          <t>File Completeness Rate</t>
        </is>
      </c>
      <c r="E47" s="14" t="inlineStr">
        <is>
          <t>% of case files scoring &gt;95%</t>
        </is>
      </c>
      <c r="F47" s="14" t="inlineStr">
        <is>
          <t>Monthly</t>
        </is>
      </c>
      <c r="G47" s="14" t="n"/>
      <c r="H47" s="14" t="n"/>
      <c r="I47" s="14" t="n"/>
      <c r="J47" s="14" t="n"/>
      <c r="K47" s="14" t="n"/>
      <c r="L47" s="14" t="n"/>
      <c r="M47" s="14" t="n"/>
      <c r="N47" s="14">
        <f>IF(OR(K47="",H47=""),"",K47-H47)</f>
        <v/>
      </c>
      <c r="O47" s="14">
        <f>IF(OR(L47="",I47=""),"",L47-I47)</f>
        <v/>
      </c>
      <c r="P47" s="14">
        <f>IF(OR(M47="",J47=""),"",M47-J47)</f>
        <v/>
      </c>
      <c r="Q47" s="16">
        <f>IF(OR(K47="",H47="",H47=0),"",K47/H47)</f>
        <v/>
      </c>
      <c r="R47" s="16">
        <f>IF(OR(L47="",I47="",I47=0),"",L47/I47)</f>
        <v/>
      </c>
      <c r="S47" s="16">
        <f>IF(OR(M47="",J47="",J47=0),"",M47/J47)</f>
        <v/>
      </c>
      <c r="T47" s="14">
        <f>IF(Q47="","",IF(Q47&gt;=0.9,"On Track",IF(Q47&gt;=0.7,"At Risk","Off Track")))</f>
        <v/>
      </c>
      <c r="U47" s="14">
        <f>IF(R47="","",IF(R47&gt;=0.9,"On Track",IF(R47&gt;=0.7,"At Risk","Off Track")))</f>
        <v/>
      </c>
      <c r="V47" s="14">
        <f>IF(S47="","",IF(S47&gt;=0.9,"On Track",IF(S47&gt;=0.7,"At Risk","Off Track")))</f>
        <v/>
      </c>
      <c r="W47" s="14" t="inlineStr">
        <is>
          <t>tbl_CaseFileChecklist</t>
        </is>
      </c>
      <c r="X47" s="14" t="n"/>
      <c r="Y47" s="14" t="n"/>
      <c r="Z47" s="14" t="n"/>
      <c r="AA47" s="14" t="n"/>
      <c r="AB47" s="14" t="n"/>
      <c r="AC47" s="14" t="n"/>
    </row>
    <row r="48">
      <c r="A48" s="14" t="inlineStr">
        <is>
          <t>KPI-0047</t>
        </is>
      </c>
      <c r="B48" s="14" t="inlineStr">
        <is>
          <t>Registry</t>
        </is>
      </c>
      <c r="C48" s="14" t="inlineStr">
        <is>
          <t>Case Disposal</t>
        </is>
      </c>
      <c r="D48" s="14" t="inlineStr">
        <is>
          <t>Cases Pending Disposal</t>
        </is>
      </c>
      <c r="E48" s="14" t="inlineStr">
        <is>
          <t>Cases closed but not yet disposed</t>
        </is>
      </c>
      <c r="F48" s="14" t="inlineStr">
        <is>
          <t>Monthly</t>
        </is>
      </c>
      <c r="G48" s="14" t="n"/>
      <c r="H48" s="14" t="n"/>
      <c r="I48" s="14" t="n"/>
      <c r="J48" s="14" t="n"/>
      <c r="K48" s="14" t="n"/>
      <c r="L48" s="14" t="n"/>
      <c r="M48" s="14" t="n"/>
      <c r="N48" s="14">
        <f>IF(OR(K48="",H48=""),"",K48-H48)</f>
        <v/>
      </c>
      <c r="O48" s="14">
        <f>IF(OR(L48="",I48=""),"",L48-I48)</f>
        <v/>
      </c>
      <c r="P48" s="14">
        <f>IF(OR(M48="",J48=""),"",M48-J48)</f>
        <v/>
      </c>
      <c r="Q48" s="16">
        <f>IF(OR(K48="",H48="",H48=0),"",K48/H48)</f>
        <v/>
      </c>
      <c r="R48" s="16">
        <f>IF(OR(L48="",I48="",I48=0),"",L48/I48)</f>
        <v/>
      </c>
      <c r="S48" s="16">
        <f>IF(OR(M48="",J48="",J48=0),"",M48/J48)</f>
        <v/>
      </c>
      <c r="T48" s="14">
        <f>IF(Q48="","",IF(Q48&gt;=0.9,"On Track",IF(Q48&gt;=0.7,"At Risk","Off Track")))</f>
        <v/>
      </c>
      <c r="U48" s="14">
        <f>IF(R48="","",IF(R48&gt;=0.9,"On Track",IF(R48&gt;=0.7,"At Risk","Off Track")))</f>
        <v/>
      </c>
      <c r="V48" s="14">
        <f>IF(S48="","",IF(S48&gt;=0.9,"On Track",IF(S48&gt;=0.7,"At Risk","Off Track")))</f>
        <v/>
      </c>
      <c r="W48" s="14" t="inlineStr">
        <is>
          <t>tbl_Cases</t>
        </is>
      </c>
      <c r="X48" s="14" t="n"/>
      <c r="Y48" s="14" t="n"/>
      <c r="Z48" s="14" t="n"/>
      <c r="AA48" s="14" t="n"/>
      <c r="AB48" s="14" t="n"/>
      <c r="AC48" s="14" t="n"/>
    </row>
    <row r="49">
      <c r="A49" s="14" t="inlineStr">
        <is>
          <t>KPI-0048</t>
        </is>
      </c>
      <c r="B49" s="14" t="inlineStr">
        <is>
          <t>Investigations</t>
        </is>
      </c>
      <c r="C49" s="14" t="inlineStr">
        <is>
          <t>Witness Management</t>
        </is>
      </c>
      <c r="D49" s="14" t="inlineStr">
        <is>
          <t>Witness Statement Rate</t>
        </is>
      </c>
      <c r="E49" s="14" t="inlineStr">
        <is>
          <t>% of identified witnesses with statements</t>
        </is>
      </c>
      <c r="F49" s="14" t="inlineStr">
        <is>
          <t>Monthly</t>
        </is>
      </c>
      <c r="G49" s="14" t="n"/>
      <c r="H49" s="14" t="n"/>
      <c r="I49" s="14" t="n"/>
      <c r="J49" s="14" t="n"/>
      <c r="K49" s="14" t="n"/>
      <c r="L49" s="14" t="n"/>
      <c r="M49" s="14" t="n"/>
      <c r="N49" s="14">
        <f>IF(OR(K49="",H49=""),"",K49-H49)</f>
        <v/>
      </c>
      <c r="O49" s="14">
        <f>IF(OR(L49="",I49=""),"",L49-I49)</f>
        <v/>
      </c>
      <c r="P49" s="14">
        <f>IF(OR(M49="",J49=""),"",M49-J49)</f>
        <v/>
      </c>
      <c r="Q49" s="16">
        <f>IF(OR(K49="",H49="",H49=0),"",K49/H49)</f>
        <v/>
      </c>
      <c r="R49" s="16">
        <f>IF(OR(L49="",I49="",I49=0),"",L49/I49)</f>
        <v/>
      </c>
      <c r="S49" s="16">
        <f>IF(OR(M49="",J49="",J49=0),"",M49/J49)</f>
        <v/>
      </c>
      <c r="T49" s="14">
        <f>IF(Q49="","",IF(Q49&gt;=0.9,"On Track",IF(Q49&gt;=0.7,"At Risk","Off Track")))</f>
        <v/>
      </c>
      <c r="U49" s="14">
        <f>IF(R49="","",IF(R49&gt;=0.9,"On Track",IF(R49&gt;=0.7,"At Risk","Off Track")))</f>
        <v/>
      </c>
      <c r="V49" s="14">
        <f>IF(S49="","",IF(S49&gt;=0.9,"On Track",IF(S49&gt;=0.7,"At Risk","Off Track")))</f>
        <v/>
      </c>
      <c r="W49" s="14" t="inlineStr">
        <is>
          <t>tbl_Witnesses</t>
        </is>
      </c>
      <c r="X49" s="14" t="n"/>
      <c r="Y49" s="14" t="n"/>
      <c r="Z49" s="14" t="n"/>
      <c r="AA49" s="14" t="n"/>
      <c r="AB49" s="14" t="n"/>
      <c r="AC49" s="14" t="n"/>
    </row>
    <row r="50">
      <c r="A50" s="14" t="inlineStr">
        <is>
          <t>KPI-0049</t>
        </is>
      </c>
      <c r="B50" s="14" t="inlineStr">
        <is>
          <t>Investigations</t>
        </is>
      </c>
      <c r="C50" s="14" t="inlineStr">
        <is>
          <t>Witness Management</t>
        </is>
      </c>
      <c r="D50" s="14" t="inlineStr">
        <is>
          <t>Summons Service Rate</t>
        </is>
      </c>
      <c r="E50" s="14" t="inlineStr">
        <is>
          <t>% of summonses successfully served</t>
        </is>
      </c>
      <c r="F50" s="14" t="inlineStr">
        <is>
          <t>Monthly</t>
        </is>
      </c>
      <c r="G50" s="14" t="n"/>
      <c r="H50" s="14" t="n"/>
      <c r="I50" s="14" t="n"/>
      <c r="J50" s="14" t="n"/>
      <c r="K50" s="14" t="n"/>
      <c r="L50" s="14" t="n"/>
      <c r="M50" s="14" t="n"/>
      <c r="N50" s="14">
        <f>IF(OR(K50="",H50=""),"",K50-H50)</f>
        <v/>
      </c>
      <c r="O50" s="14">
        <f>IF(OR(L50="",I50=""),"",L50-I50)</f>
        <v/>
      </c>
      <c r="P50" s="14">
        <f>IF(OR(M50="",J50=""),"",M50-J50)</f>
        <v/>
      </c>
      <c r="Q50" s="16">
        <f>IF(OR(K50="",H50="",H50=0),"",K50/H50)</f>
        <v/>
      </c>
      <c r="R50" s="16">
        <f>IF(OR(L50="",I50="",I50=0),"",L50/I50)</f>
        <v/>
      </c>
      <c r="S50" s="16">
        <f>IF(OR(M50="",J50="",J50=0),"",M50/J50)</f>
        <v/>
      </c>
      <c r="T50" s="14">
        <f>IF(Q50="","",IF(Q50&gt;=0.9,"On Track",IF(Q50&gt;=0.7,"At Risk","Off Track")))</f>
        <v/>
      </c>
      <c r="U50" s="14">
        <f>IF(R50="","",IF(R50&gt;=0.9,"On Track",IF(R50&gt;=0.7,"At Risk","Off Track")))</f>
        <v/>
      </c>
      <c r="V50" s="14">
        <f>IF(S50="","",IF(S50&gt;=0.9,"On Track",IF(S50&gt;=0.7,"At Risk","Off Track")))</f>
        <v/>
      </c>
      <c r="W50" s="14" t="inlineStr">
        <is>
          <t>tbl_Witnesses</t>
        </is>
      </c>
      <c r="X50" s="14" t="n"/>
      <c r="Y50" s="14" t="n"/>
      <c r="Z50" s="14" t="n"/>
      <c r="AA50" s="14" t="n"/>
      <c r="AB50" s="14" t="n"/>
      <c r="AC50" s="14" t="n"/>
    </row>
    <row r="51">
      <c r="A51" s="14" t="inlineStr">
        <is>
          <t>KPI-0050</t>
        </is>
      </c>
      <c r="B51" s="14" t="inlineStr">
        <is>
          <t>Investigations</t>
        </is>
      </c>
      <c r="C51" s="14" t="inlineStr">
        <is>
          <t>SOP Compliance</t>
        </is>
      </c>
      <c r="D51" s="14" t="inlineStr">
        <is>
          <t>Investigation Plan Coverage</t>
        </is>
      </c>
      <c r="E51" s="14" t="inlineStr">
        <is>
          <t>% of active cases with investigation plans</t>
        </is>
      </c>
      <c r="F51" s="14" t="inlineStr">
        <is>
          <t>Monthly</t>
        </is>
      </c>
      <c r="G51" s="14" t="n"/>
      <c r="H51" s="14" t="n"/>
      <c r="I51" s="14" t="n"/>
      <c r="J51" s="14" t="n"/>
      <c r="K51" s="14" t="n"/>
      <c r="L51" s="14" t="n"/>
      <c r="M51" s="14" t="n"/>
      <c r="N51" s="14">
        <f>IF(OR(K51="",H51=""),"",K51-H51)</f>
        <v/>
      </c>
      <c r="O51" s="14">
        <f>IF(OR(L51="",I51=""),"",L51-I51)</f>
        <v/>
      </c>
      <c r="P51" s="14">
        <f>IF(OR(M51="",J51=""),"",M51-J51)</f>
        <v/>
      </c>
      <c r="Q51" s="16">
        <f>IF(OR(K51="",H51="",H51=0),"",K51/H51)</f>
        <v/>
      </c>
      <c r="R51" s="16">
        <f>IF(OR(L51="",I51="",I51=0),"",L51/I51)</f>
        <v/>
      </c>
      <c r="S51" s="16">
        <f>IF(OR(M51="",J51="",J51=0),"",M51/J51)</f>
        <v/>
      </c>
      <c r="T51" s="14">
        <f>IF(Q51="","",IF(Q51&gt;=0.9,"On Track",IF(Q51&gt;=0.7,"At Risk","Off Track")))</f>
        <v/>
      </c>
      <c r="U51" s="14">
        <f>IF(R51="","",IF(R51&gt;=0.9,"On Track",IF(R51&gt;=0.7,"At Risk","Off Track")))</f>
        <v/>
      </c>
      <c r="V51" s="14">
        <f>IF(S51="","",IF(S51&gt;=0.9,"On Track",IF(S51&gt;=0.7,"At Risk","Off Track")))</f>
        <v/>
      </c>
      <c r="W51" s="14" t="inlineStr">
        <is>
          <t>tbl_InvestigationPlans</t>
        </is>
      </c>
      <c r="X51" s="14" t="n"/>
      <c r="Y51" s="14" t="n"/>
      <c r="Z51" s="14" t="n"/>
      <c r="AA51" s="14" t="n"/>
      <c r="AB51" s="14" t="n"/>
      <c r="AC51" s="14" t="n"/>
    </row>
    <row r="52">
      <c r="A52" s="14" t="inlineStr">
        <is>
          <t>KPI-0051</t>
        </is>
      </c>
      <c r="B52" s="14" t="inlineStr">
        <is>
          <t>Investigations</t>
        </is>
      </c>
      <c r="C52" s="14" t="inlineStr">
        <is>
          <t>SOP Compliance</t>
        </is>
      </c>
      <c r="D52" s="14" t="inlineStr">
        <is>
          <t>Mandatory Review Compliance</t>
        </is>
      </c>
      <c r="E52" s="14" t="inlineStr">
        <is>
          <t>% of reviews completed within schedule</t>
        </is>
      </c>
      <c r="F52" s="14" t="inlineStr">
        <is>
          <t>Monthly</t>
        </is>
      </c>
      <c r="G52" s="14" t="n"/>
      <c r="H52" s="14" t="n"/>
      <c r="I52" s="14" t="n"/>
      <c r="J52" s="14" t="n"/>
      <c r="K52" s="14" t="n"/>
      <c r="L52" s="14" t="n"/>
      <c r="M52" s="14" t="n"/>
      <c r="N52" s="14">
        <f>IF(OR(K52="",H52=""),"",K52-H52)</f>
        <v/>
      </c>
      <c r="O52" s="14">
        <f>IF(OR(L52="",I52=""),"",L52-I52)</f>
        <v/>
      </c>
      <c r="P52" s="14">
        <f>IF(OR(M52="",J52=""),"",M52-J52)</f>
        <v/>
      </c>
      <c r="Q52" s="16">
        <f>IF(OR(K52="",H52="",H52=0),"",K52/H52)</f>
        <v/>
      </c>
      <c r="R52" s="16">
        <f>IF(OR(L52="",I52="",I52=0),"",L52/I52)</f>
        <v/>
      </c>
      <c r="S52" s="16">
        <f>IF(OR(M52="",J52="",J52=0),"",M52/J52)</f>
        <v/>
      </c>
      <c r="T52" s="14">
        <f>IF(Q52="","",IF(Q52&gt;=0.9,"On Track",IF(Q52&gt;=0.7,"At Risk","Off Track")))</f>
        <v/>
      </c>
      <c r="U52" s="14">
        <f>IF(R52="","",IF(R52&gt;=0.9,"On Track",IF(R52&gt;=0.7,"At Risk","Off Track")))</f>
        <v/>
      </c>
      <c r="V52" s="14">
        <f>IF(S52="","",IF(S52&gt;=0.9,"On Track",IF(S52&gt;=0.7,"At Risk","Off Track")))</f>
        <v/>
      </c>
      <c r="W52" s="14" t="inlineStr">
        <is>
          <t>tbl_Reviews</t>
        </is>
      </c>
      <c r="X52" s="14" t="n"/>
      <c r="Y52" s="14" t="n"/>
      <c r="Z52" s="14" t="n"/>
      <c r="AA52" s="14" t="n"/>
      <c r="AB52" s="14" t="n"/>
      <c r="AC52" s="14" t="n"/>
    </row>
    <row r="53">
      <c r="A53" s="14" t="inlineStr">
        <is>
          <t>KPI-0052</t>
        </is>
      </c>
      <c r="B53" s="14" t="inlineStr">
        <is>
          <t>Investigations</t>
        </is>
      </c>
      <c r="C53" s="14" t="inlineStr">
        <is>
          <t>Victim Rights</t>
        </is>
      </c>
      <c r="D53" s="14" t="inlineStr">
        <is>
          <t>Victim Contact Compliance</t>
        </is>
      </c>
      <c r="E53" s="14" t="inlineStr">
        <is>
          <t>% of cases with victim contact within 7 days</t>
        </is>
      </c>
      <c r="F53" s="14" t="inlineStr">
        <is>
          <t>Monthly</t>
        </is>
      </c>
      <c r="G53" s="14" t="n"/>
      <c r="H53" s="14" t="n"/>
      <c r="I53" s="14" t="n"/>
      <c r="J53" s="14" t="n"/>
      <c r="K53" s="14" t="n"/>
      <c r="L53" s="14" t="n"/>
      <c r="M53" s="14" t="n"/>
      <c r="N53" s="14">
        <f>IF(OR(K53="",H53=""),"",K53-H53)</f>
        <v/>
      </c>
      <c r="O53" s="14">
        <f>IF(OR(L53="",I53=""),"",L53-I53)</f>
        <v/>
      </c>
      <c r="P53" s="14">
        <f>IF(OR(M53="",J53=""),"",M53-J53)</f>
        <v/>
      </c>
      <c r="Q53" s="16">
        <f>IF(OR(K53="",H53="",H53=0),"",K53/H53)</f>
        <v/>
      </c>
      <c r="R53" s="16">
        <f>IF(OR(L53="",I53="",I53=0),"",L53/I53)</f>
        <v/>
      </c>
      <c r="S53" s="16">
        <f>IF(OR(M53="",J53="",J53=0),"",M53/J53)</f>
        <v/>
      </c>
      <c r="T53" s="14">
        <f>IF(Q53="","",IF(Q53&gt;=0.9,"On Track",IF(Q53&gt;=0.7,"At Risk","Off Track")))</f>
        <v/>
      </c>
      <c r="U53" s="14">
        <f>IF(R53="","",IF(R53&gt;=0.9,"On Track",IF(R53&gt;=0.7,"At Risk","Off Track")))</f>
        <v/>
      </c>
      <c r="V53" s="14">
        <f>IF(S53="","",IF(S53&gt;=0.9,"On Track",IF(S53&gt;=0.7,"At Risk","Off Track")))</f>
        <v/>
      </c>
      <c r="W53" s="14" t="inlineStr">
        <is>
          <t>tbl_VictimContact</t>
        </is>
      </c>
      <c r="X53" s="14" t="n"/>
      <c r="Y53" s="14" t="n"/>
      <c r="Z53" s="14" t="n"/>
      <c r="AA53" s="14" t="n"/>
      <c r="AB53" s="14" t="n"/>
      <c r="AC53" s="14" t="n"/>
    </row>
    <row r="54">
      <c r="A54" s="14" t="inlineStr">
        <is>
          <t>KPI-0053</t>
        </is>
      </c>
      <c r="B54" s="14" t="inlineStr">
        <is>
          <t>Investigations</t>
        </is>
      </c>
      <c r="C54" s="14" t="inlineStr">
        <is>
          <t>Court Readiness</t>
        </is>
      </c>
      <c r="D54" s="14" t="inlineStr">
        <is>
          <t>48hr Charge Compliance</t>
        </is>
      </c>
      <c r="E54" s="14" t="inlineStr">
        <is>
          <t>% of arrests charged within 48 hours</t>
        </is>
      </c>
      <c r="F54" s="14" t="inlineStr">
        <is>
          <t>Monthly</t>
        </is>
      </c>
      <c r="G54" s="14" t="n"/>
      <c r="H54" s="14" t="n"/>
      <c r="I54" s="14" t="n"/>
      <c r="J54" s="14" t="n"/>
      <c r="K54" s="14" t="n"/>
      <c r="L54" s="14" t="n"/>
      <c r="M54" s="14" t="n"/>
      <c r="N54" s="14">
        <f>IF(OR(K54="",H54=""),"",K54-H54)</f>
        <v/>
      </c>
      <c r="O54" s="14">
        <f>IF(OR(L54="",I54=""),"",L54-I54)</f>
        <v/>
      </c>
      <c r="P54" s="14">
        <f>IF(OR(M54="",J54=""),"",M54-J54)</f>
        <v/>
      </c>
      <c r="Q54" s="16">
        <f>IF(OR(K54="",H54="",H54=0),"",K54/H54)</f>
        <v/>
      </c>
      <c r="R54" s="16">
        <f>IF(OR(L54="",I54="",I54=0),"",L54/I54)</f>
        <v/>
      </c>
      <c r="S54" s="16">
        <f>IF(OR(M54="",J54="",J54=0),"",M54/J54)</f>
        <v/>
      </c>
      <c r="T54" s="14">
        <f>IF(Q54="","",IF(Q54&gt;=0.9,"On Track",IF(Q54&gt;=0.7,"At Risk","Off Track")))</f>
        <v/>
      </c>
      <c r="U54" s="14">
        <f>IF(R54="","",IF(R54&gt;=0.9,"On Track",IF(R54&gt;=0.7,"At Risk","Off Track")))</f>
        <v/>
      </c>
      <c r="V54" s="14">
        <f>IF(S54="","",IF(S54&gt;=0.9,"On Track",IF(S54&gt;=0.7,"At Risk","Off Track")))</f>
        <v/>
      </c>
      <c r="W54" s="14" t="inlineStr">
        <is>
          <t>tbl_Cases</t>
        </is>
      </c>
      <c r="X54" s="14" t="n"/>
      <c r="Y54" s="14" t="n"/>
      <c r="Z54" s="14" t="n"/>
      <c r="AA54" s="14" t="n"/>
      <c r="AB54" s="14" t="n"/>
      <c r="AC54" s="14" t="n"/>
    </row>
    <row r="55">
      <c r="A55" s="14" t="inlineStr">
        <is>
          <t>KPI-0054</t>
        </is>
      </c>
      <c r="B55" s="14" t="inlineStr">
        <is>
          <t>Investigations</t>
        </is>
      </c>
      <c r="C55" s="14" t="inlineStr">
        <is>
          <t>Court Readiness</t>
        </is>
      </c>
      <c r="D55" s="14" t="inlineStr">
        <is>
          <t>Disclosure Completion Rate</t>
        </is>
      </c>
      <c r="E55" s="14" t="inlineStr">
        <is>
          <t>% of court cases with complete disclosure</t>
        </is>
      </c>
      <c r="F55" s="14" t="inlineStr">
        <is>
          <t>Monthly</t>
        </is>
      </c>
      <c r="G55" s="14" t="n"/>
      <c r="H55" s="14" t="n"/>
      <c r="I55" s="14" t="n"/>
      <c r="J55" s="14" t="n"/>
      <c r="K55" s="14" t="n"/>
      <c r="L55" s="14" t="n"/>
      <c r="M55" s="14" t="n"/>
      <c r="N55" s="14">
        <f>IF(OR(K55="",H55=""),"",K55-H55)</f>
        <v/>
      </c>
      <c r="O55" s="14">
        <f>IF(OR(L55="",I55=""),"",L55-I55)</f>
        <v/>
      </c>
      <c r="P55" s="14">
        <f>IF(OR(M55="",J55=""),"",M55-J55)</f>
        <v/>
      </c>
      <c r="Q55" s="16">
        <f>IF(OR(K55="",H55="",H55=0),"",K55/H55)</f>
        <v/>
      </c>
      <c r="R55" s="16">
        <f>IF(OR(L55="",I55="",I55=0),"",L55/I55)</f>
        <v/>
      </c>
      <c r="S55" s="16">
        <f>IF(OR(M55="",J55="",J55=0),"",M55/J55)</f>
        <v/>
      </c>
      <c r="T55" s="14">
        <f>IF(Q55="","",IF(Q55&gt;=0.9,"On Track",IF(Q55&gt;=0.7,"At Risk","Off Track")))</f>
        <v/>
      </c>
      <c r="U55" s="14">
        <f>IF(R55="","",IF(R55&gt;=0.9,"On Track",IF(R55&gt;=0.7,"At Risk","Off Track")))</f>
        <v/>
      </c>
      <c r="V55" s="14">
        <f>IF(S55="","",IF(S55&gt;=0.9,"On Track",IF(S55&gt;=0.7,"At Risk","Off Track")))</f>
        <v/>
      </c>
      <c r="W55" s="14" t="inlineStr">
        <is>
          <t>tbl_Disclosure</t>
        </is>
      </c>
      <c r="X55" s="14" t="n"/>
      <c r="Y55" s="14" t="n"/>
      <c r="Z55" s="14" t="n"/>
      <c r="AA55" s="14" t="n"/>
      <c r="AB55" s="14" t="n"/>
      <c r="AC55" s="14" t="n"/>
    </row>
    <row r="56">
      <c r="A56" s="14" t="inlineStr">
        <is>
          <t>KPI-0055</t>
        </is>
      </c>
      <c r="B56" s="14" t="inlineStr">
        <is>
          <t>Investigations</t>
        </is>
      </c>
      <c r="C56" s="14" t="inlineStr">
        <is>
          <t>Directive Compliance</t>
        </is>
      </c>
      <c r="D56" s="14" t="inlineStr">
        <is>
          <t>Directive Completion Rate</t>
        </is>
      </c>
      <c r="E56" s="14" t="inlineStr">
        <is>
          <t>% of supervisory directives completed on time</t>
        </is>
      </c>
      <c r="F56" s="14" t="inlineStr">
        <is>
          <t>Monthly</t>
        </is>
      </c>
      <c r="G56" s="14" t="n"/>
      <c r="H56" s="14" t="n"/>
      <c r="I56" s="14" t="n"/>
      <c r="J56" s="14" t="n"/>
      <c r="K56" s="14" t="n"/>
      <c r="L56" s="14" t="n"/>
      <c r="M56" s="14" t="n"/>
      <c r="N56" s="14">
        <f>IF(OR(K56="",H56=""),"",K56-H56)</f>
        <v/>
      </c>
      <c r="O56" s="14">
        <f>IF(OR(L56="",I56=""),"",L56-I56)</f>
        <v/>
      </c>
      <c r="P56" s="14">
        <f>IF(OR(M56="",J56=""),"",M56-J56)</f>
        <v/>
      </c>
      <c r="Q56" s="16">
        <f>IF(OR(K56="",H56="",H56=0),"",K56/H56)</f>
        <v/>
      </c>
      <c r="R56" s="16">
        <f>IF(OR(L56="",I56="",I56=0),"",L56/I56)</f>
        <v/>
      </c>
      <c r="S56" s="16">
        <f>IF(OR(M56="",J56="",J56=0),"",M56/J56)</f>
        <v/>
      </c>
      <c r="T56" s="14">
        <f>IF(Q56="","",IF(Q56&gt;=0.9,"On Track",IF(Q56&gt;=0.7,"At Risk","Off Track")))</f>
        <v/>
      </c>
      <c r="U56" s="14">
        <f>IF(R56="","",IF(R56&gt;=0.9,"On Track",IF(R56&gt;=0.7,"At Risk","Off Track")))</f>
        <v/>
      </c>
      <c r="V56" s="14">
        <f>IF(S56="","",IF(S56&gt;=0.9,"On Track",IF(S56&gt;=0.7,"At Risk","Off Track")))</f>
        <v/>
      </c>
      <c r="W56" s="14" t="inlineStr">
        <is>
          <t>tbl_Reviews</t>
        </is>
      </c>
      <c r="X56" s="14" t="n"/>
      <c r="Y56" s="14" t="n"/>
      <c r="Z56" s="14" t="n"/>
      <c r="AA56" s="14" t="n"/>
      <c r="AB56" s="14" t="n"/>
      <c r="AC56" s="14" t="n"/>
    </row>
    <row r="57">
      <c r="A57" s="14" t="inlineStr">
        <is>
          <t>KPI-0056</t>
        </is>
      </c>
      <c r="B57" s="14" t="inlineStr">
        <is>
          <t>Investigations</t>
        </is>
      </c>
      <c r="C57" s="14" t="inlineStr">
        <is>
          <t>Case Quality</t>
        </is>
      </c>
      <c r="D57" s="14" t="inlineStr">
        <is>
          <t>Handover Compliance Rate</t>
        </is>
      </c>
      <c r="E57" s="14" t="inlineStr">
        <is>
          <t>% of reassignments with formal handover</t>
        </is>
      </c>
      <c r="F57" s="14" t="inlineStr">
        <is>
          <t>Monthly</t>
        </is>
      </c>
      <c r="G57" s="14" t="n"/>
      <c r="H57" s="14" t="n"/>
      <c r="I57" s="14" t="n"/>
      <c r="J57" s="14" t="n"/>
      <c r="K57" s="14" t="n"/>
      <c r="L57" s="14" t="n"/>
      <c r="M57" s="14" t="n"/>
      <c r="N57" s="14">
        <f>IF(OR(K57="",H57=""),"",K57-H57)</f>
        <v/>
      </c>
      <c r="O57" s="14">
        <f>IF(OR(L57="",I57=""),"",L57-I57)</f>
        <v/>
      </c>
      <c r="P57" s="14">
        <f>IF(OR(M57="",J57=""),"",M57-J57)</f>
        <v/>
      </c>
      <c r="Q57" s="16">
        <f>IF(OR(K57="",H57="",H57=0),"",K57/H57)</f>
        <v/>
      </c>
      <c r="R57" s="16">
        <f>IF(OR(L57="",I57="",I57=0),"",L57/I57)</f>
        <v/>
      </c>
      <c r="S57" s="16">
        <f>IF(OR(M57="",J57="",J57=0),"",M57/J57)</f>
        <v/>
      </c>
      <c r="T57" s="14">
        <f>IF(Q57="","",IF(Q57&gt;=0.9,"On Track",IF(Q57&gt;=0.7,"At Risk","Off Track")))</f>
        <v/>
      </c>
      <c r="U57" s="14">
        <f>IF(R57="","",IF(R57&gt;=0.9,"On Track",IF(R57&gt;=0.7,"At Risk","Off Track")))</f>
        <v/>
      </c>
      <c r="V57" s="14">
        <f>IF(S57="","",IF(S57&gt;=0.9,"On Track",IF(S57&gt;=0.7,"At Risk","Off Track")))</f>
        <v/>
      </c>
      <c r="W57" s="14" t="inlineStr">
        <is>
          <t>tbl_CaseAssignments</t>
        </is>
      </c>
      <c r="X57" s="14" t="n"/>
      <c r="Y57" s="14" t="n"/>
      <c r="Z57" s="14" t="n"/>
      <c r="AA57" s="14" t="n"/>
      <c r="AB57" s="14" t="n"/>
      <c r="AC57" s="14" t="n"/>
    </row>
  </sheetData>
  <conditionalFormatting sqref="T2:T1000">
    <cfRule type="expression" priority="1" dxfId="2">
      <formula>=T2="On Track"</formula>
    </cfRule>
    <cfRule type="expression" priority="2" dxfId="1">
      <formula>=T2="At Risk"</formula>
    </cfRule>
    <cfRule type="expression" priority="3" dxfId="0">
      <formula>=T2="Off Track"</formula>
    </cfRule>
  </conditionalFormatting>
  <conditionalFormatting sqref="U2:U1000">
    <cfRule type="expression" priority="4" dxfId="2">
      <formula>=U2="On Track"</formula>
    </cfRule>
    <cfRule type="expression" priority="5" dxfId="1">
      <formula>=U2="At Risk"</formula>
    </cfRule>
    <cfRule type="expression" priority="6" dxfId="0">
      <formula>=U2="Off Track"</formula>
    </cfRule>
  </conditionalFormatting>
  <conditionalFormatting sqref="V2:V1000">
    <cfRule type="expression" priority="7" dxfId="2">
      <formula>=V2="On Track"</formula>
    </cfRule>
    <cfRule type="expression" priority="8" dxfId="1">
      <formula>=V2="At Risk"</formula>
    </cfRule>
    <cfRule type="expression" priority="9" dxfId="0">
      <formula>=V2="Off Track"</formula>
    </cfRule>
  </conditionalFormatting>
  <dataValidations count="5">
    <dataValidation sqref="B2:B1000" showDropDown="0" showInputMessage="0" showErrorMessage="0" allowBlank="1" errorTitle="Invalid Entry" error="Please select from the list." type="list">
      <formula1>=Lookups!$E$2:$E$11</formula1>
    </dataValidation>
    <dataValidation sqref="F2:F1000" showDropDown="0" showInputMessage="0" showErrorMessage="0" allowBlank="1" errorTitle="Invalid Entry" error="Please select from the list." type="list">
      <formula1>=Lookups!$R$2:$R$6</formula1>
    </dataValidation>
    <dataValidation sqref="T2:T1000" showDropDown="0" showInputMessage="0" showErrorMessage="0" allowBlank="1" errorTitle="Invalid Entry" error="Please select from the list." type="list">
      <formula1>=Lookups!$P$2:$P$4</formula1>
    </dataValidation>
    <dataValidation sqref="U2:U1000" showDropDown="0" showInputMessage="0" showErrorMessage="0" allowBlank="1" errorTitle="Invalid Entry" error="Please select from the list." type="list">
      <formula1>=Lookups!$P$2:$P$4</formula1>
    </dataValidation>
    <dataValidation sqref="V2:V1000" showDropDown="0" showInputMessage="0" showErrorMessage="0" allowBlank="1" errorTitle="Invalid Entry" error="Please select from the list." type="list">
      <formula1>=Lookups!$P$2:$P$4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C00000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OPERATIONS PORTAL</t>
        </is>
      </c>
    </row>
    <row r="2" ht="24" customHeight="1">
      <c r="A2" s="18" t="inlineStr">
        <is>
          <t>Operational Activity, FCSI Tracking &amp; Outcomes</t>
        </is>
      </c>
    </row>
    <row r="3" ht="18" customHeight="1">
      <c r="A3" s="19" t="inlineStr">
        <is>
          <t>Unit: Operations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Total Operations Conducted</t>
        </is>
      </c>
      <c r="B7" s="22">
        <f>IFERROR(INDEX(tbl_UnitPlans[Target_Monthly],MATCH("Total Operations Conducted",tbl_UnitPlans[KPI_Name],0)),"—")</f>
        <v/>
      </c>
      <c r="C7" s="23">
        <f>IFERROR(INDEX(tbl_UnitPlans[Actual_MTD],MATCH("Total Operations Conducted",tbl_UnitPlans[KPI_Name],0)),"—")</f>
        <v/>
      </c>
      <c r="D7" s="23">
        <f>IFERROR(INDEX(tbl_UnitPlans[Variance_Monthly],MATCH("Total Operations Conducted",tbl_UnitPlans[KPI_Name],0)),"—")</f>
        <v/>
      </c>
      <c r="E7" s="24">
        <f>IFERROR(INDEX(tbl_UnitPlans[Achievement_Pct_Monthly],MATCH("Total Operations Conducted",tbl_UnitPlans[KPI_Name],0)),"—")</f>
        <v/>
      </c>
      <c r="F7" s="23">
        <f>IFERROR(INDEX(tbl_UnitPlans[TrafficLight_Monthly],MATCH("Total Operations Conducted",tbl_UnitPlans[KPI_Name],0)),"—")</f>
        <v/>
      </c>
    </row>
    <row r="8">
      <c r="A8" s="22" t="inlineStr">
        <is>
          <t>FCSI Operations Conducted</t>
        </is>
      </c>
      <c r="B8" s="22">
        <f>IFERROR(INDEX(tbl_UnitPlans[Target_Monthly],MATCH("FCSI Operations Conducted",tbl_UnitPlans[KPI_Name],0)),"—")</f>
        <v/>
      </c>
      <c r="C8" s="23">
        <f>IFERROR(INDEX(tbl_UnitPlans[Actual_MTD],MATCH("FCSI Operations Conducted",tbl_UnitPlans[KPI_Name],0)),"—")</f>
        <v/>
      </c>
      <c r="D8" s="23">
        <f>IFERROR(INDEX(tbl_UnitPlans[Variance_Monthly],MATCH("FCSI Operations Conducted",tbl_UnitPlans[KPI_Name],0)),"—")</f>
        <v/>
      </c>
      <c r="E8" s="24">
        <f>IFERROR(INDEX(tbl_UnitPlans[Achievement_Pct_Monthly],MATCH("FCSI Operations Conducted",tbl_UnitPlans[KPI_Name],0)),"—")</f>
        <v/>
      </c>
      <c r="F8" s="23">
        <f>IFERROR(INDEX(tbl_UnitPlans[TrafficLight_Monthly],MATCH("FCSI Operations Conducted",tbl_UnitPlans[KPI_Name],0)),"—")</f>
        <v/>
      </c>
    </row>
    <row r="9">
      <c r="A9" s="22" t="inlineStr">
        <is>
          <t>Firearms Seized</t>
        </is>
      </c>
      <c r="B9" s="22">
        <f>IFERROR(INDEX(tbl_UnitPlans[Target_Monthly],MATCH("Firearms Seized",tbl_UnitPlans[KPI_Name],0)),"—")</f>
        <v/>
      </c>
      <c r="C9" s="23">
        <f>IFERROR(INDEX(tbl_UnitPlans[Actual_MTD],MATCH("Firearms Seized",tbl_UnitPlans[KPI_Name],0)),"—")</f>
        <v/>
      </c>
      <c r="D9" s="23">
        <f>IFERROR(INDEX(tbl_UnitPlans[Variance_Monthly],MATCH("Firearms Seized",tbl_UnitPlans[KPI_Name],0)),"—")</f>
        <v/>
      </c>
      <c r="E9" s="24">
        <f>IFERROR(INDEX(tbl_UnitPlans[Achievement_Pct_Monthly],MATCH("Firearms Seized",tbl_UnitPlans[KPI_Name],0)),"—")</f>
        <v/>
      </c>
      <c r="F9" s="23">
        <f>IFERROR(INDEX(tbl_UnitPlans[TrafficLight_Monthly],MATCH("Firearms Seized",tbl_UnitPlans[KPI_Name],0)),"—")</f>
        <v/>
      </c>
    </row>
    <row r="10">
      <c r="A10" s="22" t="inlineStr">
        <is>
          <t>Narcotics Seized (kg)</t>
        </is>
      </c>
      <c r="B10" s="22">
        <f>IFERROR(INDEX(tbl_UnitPlans[Target_Monthly],MATCH("Narcotics Seized (kg)",tbl_UnitPlans[KPI_Name],0)),"—")</f>
        <v/>
      </c>
      <c r="C10" s="23">
        <f>IFERROR(INDEX(tbl_UnitPlans[Actual_MTD],MATCH("Narcotics Seized (kg)",tbl_UnitPlans[KPI_Name],0)),"—")</f>
        <v/>
      </c>
      <c r="D10" s="23">
        <f>IFERROR(INDEX(tbl_UnitPlans[Variance_Monthly],MATCH("Narcotics Seized (kg)",tbl_UnitPlans[KPI_Name],0)),"—")</f>
        <v/>
      </c>
      <c r="E10" s="24">
        <f>IFERROR(INDEX(tbl_UnitPlans[Achievement_Pct_Monthly],MATCH("Narcotics Seized (kg)",tbl_UnitPlans[KPI_Name],0)),"—")</f>
        <v/>
      </c>
      <c r="F10" s="23">
        <f>IFERROR(INDEX(tbl_UnitPlans[TrafficLight_Monthly],MATCH("Narcotics Seized (kg)",tbl_UnitPlans[KPI_Name],0)),"—")</f>
        <v/>
      </c>
    </row>
    <row r="11">
      <c r="A11" s="22" t="inlineStr">
        <is>
          <t>Arrests Made</t>
        </is>
      </c>
      <c r="B11" s="22">
        <f>IFERROR(INDEX(tbl_UnitPlans[Target_Monthly],MATCH("Arrests Made",tbl_UnitPlans[KPI_Name],0)),"—")</f>
        <v/>
      </c>
      <c r="C11" s="23">
        <f>IFERROR(INDEX(tbl_UnitPlans[Actual_MTD],MATCH("Arrests Made",tbl_UnitPlans[KPI_Name],0)),"—")</f>
        <v/>
      </c>
      <c r="D11" s="23">
        <f>IFERROR(INDEX(tbl_UnitPlans[Variance_Monthly],MATCH("Arrests Made",tbl_UnitPlans[KPI_Name],0)),"—")</f>
        <v/>
      </c>
      <c r="E11" s="24">
        <f>IFERROR(INDEX(tbl_UnitPlans[Achievement_Pct_Monthly],MATCH("Arrests Made",tbl_UnitPlans[KPI_Name],0)),"—")</f>
        <v/>
      </c>
      <c r="F11" s="23">
        <f>IFERROR(INDEX(tbl_UnitPlans[TrafficLight_Monthly],MATCH("Arrests Made",tbl_UnitPlans[KPI_Name],0)),"—")</f>
        <v/>
      </c>
    </row>
    <row r="12">
      <c r="A12" s="22" t="inlineStr">
        <is>
          <t>FCSI Positive Outcome Rate</t>
        </is>
      </c>
      <c r="B12" s="22">
        <f>IFERROR(INDEX(tbl_UnitPlans[Target_Monthly],MATCH("FCSI Positive Outcome Rate",tbl_UnitPlans[KPI_Name],0)),"—")</f>
        <v/>
      </c>
      <c r="C12" s="23">
        <f>IFERROR(INDEX(tbl_UnitPlans[Actual_MTD],MATCH("FCSI Positive Outcome Rate",tbl_UnitPlans[KPI_Name],0)),"—")</f>
        <v/>
      </c>
      <c r="D12" s="23">
        <f>IFERROR(INDEX(tbl_UnitPlans[Variance_Monthly],MATCH("FCSI Positive Outcome Rate",tbl_UnitPlans[KPI_Name],0)),"—")</f>
        <v/>
      </c>
      <c r="E12" s="24">
        <f>IFERROR(INDEX(tbl_UnitPlans[Achievement_Pct_Monthly],MATCH("FCSI Positive Outcome Rate",tbl_UnitPlans[KPI_Name],0)),"—")</f>
        <v/>
      </c>
      <c r="F12" s="23">
        <f>IFERROR(INDEX(tbl_UnitPlans[TrafficLight_Monthly],MATCH("FCSI Positive Outcome Rate",tbl_UnitPlans[KPI_Name],0)),"—")</f>
        <v/>
      </c>
    </row>
    <row r="13">
      <c r="A13" s="22" t="inlineStr">
        <is>
          <t>FCSI Hotspot Coverage</t>
        </is>
      </c>
      <c r="B13" s="22">
        <f>IFERROR(INDEX(tbl_UnitPlans[Target_Monthly],MATCH("FCSI Hotspot Coverage",tbl_UnitPlans[KPI_Name],0)),"—")</f>
        <v/>
      </c>
      <c r="C13" s="23">
        <f>IFERROR(INDEX(tbl_UnitPlans[Actual_MTD],MATCH("FCSI Hotspot Coverage",tbl_UnitPlans[KPI_Name],0)),"—")</f>
        <v/>
      </c>
      <c r="D13" s="23">
        <f>IFERROR(INDEX(tbl_UnitPlans[Variance_Monthly],MATCH("FCSI Hotspot Coverage",tbl_UnitPlans[KPI_Name],0)),"—")</f>
        <v/>
      </c>
      <c r="E13" s="24">
        <f>IFERROR(INDEX(tbl_UnitPlans[Achievement_Pct_Monthly],MATCH("FCSI Hotspot Coverage",tbl_UnitPlans[KPI_Name],0)),"—")</f>
        <v/>
      </c>
      <c r="F13" s="23">
        <f>IFERROR(INDEX(tbl_UnitPlans[TrafficLight_Monthly],MATCH("FCSI Hotspot Coverage",tbl_UnitPlans[KPI_Name],0)),"—")</f>
        <v/>
      </c>
    </row>
    <row r="15">
      <c r="A15" s="20" t="inlineStr">
        <is>
          <t>QUICK STATISTICS</t>
        </is>
      </c>
    </row>
    <row r="16">
      <c r="A16" s="25" t="inlineStr">
        <is>
          <t>Total Ops</t>
        </is>
      </c>
      <c r="B16" s="25" t="inlineStr">
        <is>
          <t>FCSI Ops</t>
        </is>
      </c>
      <c r="C16" s="25" t="inlineStr">
        <is>
          <t>Non-FCSI Ops</t>
        </is>
      </c>
      <c r="D16" s="25" t="inlineStr">
        <is>
          <t>Total Arrests</t>
        </is>
      </c>
      <c r="E16" s="25" t="inlineStr">
        <is>
          <t>Firearms Seized</t>
        </is>
      </c>
      <c r="F16" s="25" t="inlineStr">
        <is>
          <t>Ammo Seized</t>
        </is>
      </c>
      <c r="G16" s="25" t="inlineStr">
        <is>
          <t>Narcotics (kg)</t>
        </is>
      </c>
      <c r="H16" s="25" t="inlineStr">
        <is>
          <t>Search Warrants</t>
        </is>
      </c>
    </row>
    <row r="17">
      <c r="A17" s="26">
        <f>COUNTA(tbl_Operations[OPS_ID])-COUNTBLANK(tbl_Operations[OPS_ID])</f>
        <v/>
      </c>
      <c r="B17" s="26">
        <f>COUNTIF(tbl_Operations[FCSI_Flag],"Yes")</f>
        <v/>
      </c>
      <c r="C17" s="26">
        <f>COUNTIF(tbl_Operations[FCSI_Flag],"No")</f>
        <v/>
      </c>
      <c r="D17" s="26">
        <f>SUM(tbl_Operations[Arrests])</f>
        <v/>
      </c>
      <c r="E17" s="26">
        <f>SUM(tbl_Operations[FirearmsSeized])</f>
        <v/>
      </c>
      <c r="F17" s="26">
        <f>SUM(tbl_Operations[AmmunitionSeized])</f>
        <v/>
      </c>
      <c r="G17" s="26">
        <f>SUM(tbl_Operations[NarcoticsSeized_kg])</f>
        <v/>
      </c>
      <c r="H17" s="26">
        <f>COUNTIF(tbl_Operations[OpsType],"Search Warrant")</f>
        <v/>
      </c>
    </row>
    <row r="22">
      <c r="A22" s="27" t="inlineStr">
        <is>
          <t>DATA ENTRY: Navigate to 'tbl_Operations' to log operational activity. Mark FCSI_Flag='Yes' for all Focused Crime Suppression Initiative operations.</t>
        </is>
      </c>
    </row>
  </sheetData>
  <mergeCells count="6">
    <mergeCell ref="A1:H1"/>
    <mergeCell ref="A3:H3"/>
    <mergeCell ref="A15:H15"/>
    <mergeCell ref="A2:H2"/>
    <mergeCell ref="A5:H5"/>
    <mergeCell ref="A22:H22"/>
  </mergeCells>
  <conditionalFormatting sqref="F7:F14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BF8F00"/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INTELLIGENCE PORTAL</t>
        </is>
      </c>
    </row>
    <row r="2" ht="24" customHeight="1">
      <c r="A2" s="18" t="inlineStr">
        <is>
          <t>Lead Management, Triage &amp; Intelligence Briefings</t>
        </is>
      </c>
    </row>
    <row r="3" ht="18" customHeight="1">
      <c r="A3" s="19" t="inlineStr">
        <is>
          <t>Unit: Intelligence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Leads Received</t>
        </is>
      </c>
      <c r="B7" s="22">
        <f>IFERROR(INDEX(tbl_UnitPlans[Target_Monthly],MATCH("Leads Received",tbl_UnitPlans[KPI_Name],0)),"—")</f>
        <v/>
      </c>
      <c r="C7" s="23">
        <f>IFERROR(INDEX(tbl_UnitPlans[Actual_MTD],MATCH("Leads Received",tbl_UnitPlans[KPI_Name],0)),"—")</f>
        <v/>
      </c>
      <c r="D7" s="23">
        <f>IFERROR(INDEX(tbl_UnitPlans[Variance_Monthly],MATCH("Leads Received",tbl_UnitPlans[KPI_Name],0)),"—")</f>
        <v/>
      </c>
      <c r="E7" s="24">
        <f>IFERROR(INDEX(tbl_UnitPlans[Achievement_Pct_Monthly],MATCH("Leads Received",tbl_UnitPlans[KPI_Name],0)),"—")</f>
        <v/>
      </c>
      <c r="F7" s="23">
        <f>IFERROR(INDEX(tbl_UnitPlans[TrafficLight_Monthly],MATCH("Leads Received",tbl_UnitPlans[KPI_Name],0)),"—")</f>
        <v/>
      </c>
    </row>
    <row r="8">
      <c r="A8" s="22" t="inlineStr">
        <is>
          <t>Leads Triaged &lt; 24hrs</t>
        </is>
      </c>
      <c r="B8" s="22">
        <f>IFERROR(INDEX(tbl_UnitPlans[Target_Monthly],MATCH("Leads Triaged &lt; 24hrs",tbl_UnitPlans[KPI_Name],0)),"—")</f>
        <v/>
      </c>
      <c r="C8" s="23">
        <f>IFERROR(INDEX(tbl_UnitPlans[Actual_MTD],MATCH("Leads Triaged &lt; 24hrs",tbl_UnitPlans[KPI_Name],0)),"—")</f>
        <v/>
      </c>
      <c r="D8" s="23">
        <f>IFERROR(INDEX(tbl_UnitPlans[Variance_Monthly],MATCH("Leads Triaged &lt; 24hrs",tbl_UnitPlans[KPI_Name],0)),"—")</f>
        <v/>
      </c>
      <c r="E8" s="24">
        <f>IFERROR(INDEX(tbl_UnitPlans[Achievement_Pct_Monthly],MATCH("Leads Triaged &lt; 24hrs",tbl_UnitPlans[KPI_Name],0)),"—")</f>
        <v/>
      </c>
      <c r="F8" s="23">
        <f>IFERROR(INDEX(tbl_UnitPlans[TrafficLight_Monthly],MATCH("Leads Triaged &lt; 24hrs",tbl_UnitPlans[KPI_Name],0)),"—")</f>
        <v/>
      </c>
    </row>
    <row r="9">
      <c r="A9" s="22" t="inlineStr">
        <is>
          <t>Lead-to-Case Conversion Rate</t>
        </is>
      </c>
      <c r="B9" s="22">
        <f>IFERROR(INDEX(tbl_UnitPlans[Target_Monthly],MATCH("Lead-to-Case Conversion Rate",tbl_UnitPlans[KPI_Name],0)),"—")</f>
        <v/>
      </c>
      <c r="C9" s="23">
        <f>IFERROR(INDEX(tbl_UnitPlans[Actual_MTD],MATCH("Lead-to-Case Conversion Rate",tbl_UnitPlans[KPI_Name],0)),"—")</f>
        <v/>
      </c>
      <c r="D9" s="23">
        <f>IFERROR(INDEX(tbl_UnitPlans[Variance_Monthly],MATCH("Lead-to-Case Conversion Rate",tbl_UnitPlans[KPI_Name],0)),"—")</f>
        <v/>
      </c>
      <c r="E9" s="24">
        <f>IFERROR(INDEX(tbl_UnitPlans[Achievement_Pct_Monthly],MATCH("Lead-to-Case Conversion Rate",tbl_UnitPlans[KPI_Name],0)),"—")</f>
        <v/>
      </c>
      <c r="F9" s="23">
        <f>IFERROR(INDEX(tbl_UnitPlans[TrafficLight_Monthly],MATCH("Lead-to-Case Conversion Rate",tbl_UnitPlans[KPI_Name],0)),"—")</f>
        <v/>
      </c>
    </row>
    <row r="10">
      <c r="A10" s="22" t="inlineStr">
        <is>
          <t>Intel Briefings Delivered</t>
        </is>
      </c>
      <c r="B10" s="22">
        <f>IFERROR(INDEX(tbl_UnitPlans[Target_Monthly],MATCH("Intel Briefings Delivered",tbl_UnitPlans[KPI_Name],0)),"—")</f>
        <v/>
      </c>
      <c r="C10" s="23">
        <f>IFERROR(INDEX(tbl_UnitPlans[Actual_MTD],MATCH("Intel Briefings Delivered",tbl_UnitPlans[KPI_Name],0)),"—")</f>
        <v/>
      </c>
      <c r="D10" s="23">
        <f>IFERROR(INDEX(tbl_UnitPlans[Variance_Monthly],MATCH("Intel Briefings Delivered",tbl_UnitPlans[KPI_Name],0)),"—")</f>
        <v/>
      </c>
      <c r="E10" s="24">
        <f>IFERROR(INDEX(tbl_UnitPlans[Achievement_Pct_Monthly],MATCH("Intel Briefings Delivered",tbl_UnitPlans[KPI_Name],0)),"—")</f>
        <v/>
      </c>
      <c r="F10" s="23">
        <f>IFERROR(INDEX(tbl_UnitPlans[TrafficLight_Monthly],MATCH("Intel Briefings Delivered",tbl_UnitPlans[KPI_Name],0)),"—")</f>
        <v/>
      </c>
    </row>
    <row r="12">
      <c r="A12" s="20" t="inlineStr">
        <is>
          <t>QUICK STATISTICS</t>
        </is>
      </c>
    </row>
    <row r="13">
      <c r="A13" s="25" t="inlineStr">
        <is>
          <t>Total Leads</t>
        </is>
      </c>
      <c r="B13" s="25" t="inlineStr">
        <is>
          <t>From MCR</t>
        </is>
      </c>
      <c r="C13" s="25" t="inlineStr">
        <is>
          <t>From Ops</t>
        </is>
      </c>
      <c r="D13" s="25" t="inlineStr">
        <is>
          <t>From Tips</t>
        </is>
      </c>
      <c r="E13" s="25" t="inlineStr">
        <is>
          <t>High Priority</t>
        </is>
      </c>
      <c r="F13" s="25" t="inlineStr">
        <is>
          <t>Pending Triage</t>
        </is>
      </c>
      <c r="G13" s="25" t="inlineStr">
        <is>
          <t>Converted to Case</t>
        </is>
      </c>
      <c r="H13" s="25" t="inlineStr">
        <is>
          <t>Briefings Given</t>
        </is>
      </c>
    </row>
    <row r="14">
      <c r="A14" s="26">
        <f>COUNTA(tbl_Leads[LeadID])-COUNTBLANK(tbl_Leads[LeadID])</f>
        <v/>
      </c>
      <c r="B14" s="26">
        <f>COUNTIF(tbl_Leads[Source],"MCR")</f>
        <v/>
      </c>
      <c r="C14" s="26">
        <f>COUNTIF(tbl_Leads[Source],"Operations")</f>
        <v/>
      </c>
      <c r="D14" s="26">
        <f>COUNTIF(tbl_Leads[Source],"Tip-off")</f>
        <v/>
      </c>
      <c r="E14" s="26">
        <f>COUNTIFS(tbl_Leads[Priority],"High")+COUNTIFS(tbl_Leads[Priority],"Critical")</f>
        <v/>
      </c>
      <c r="F14" s="26">
        <f>COUNTBLANK(tbl_Leads[TriageDecision])</f>
        <v/>
      </c>
      <c r="G14" s="26">
        <f>COUNTIF(tbl_Leads[Outcome],"Converted to Case")</f>
        <v/>
      </c>
      <c r="H14" s="26">
        <f>COUNTA(tbl_IntelBriefings[BriefingID])-COUNTBLANK(tbl_IntelBriefings[BriefingID])</f>
        <v/>
      </c>
    </row>
    <row r="19">
      <c r="A19" s="27" t="inlineStr">
        <is>
          <t>DATA ENTRY: Use 'tbl_MCR_Raw' for MCR intake, 'tbl_Leads' for lead management, 'tbl_FollowUpRecs' for recommendations, 'tbl_IntelBriefings' for briefing logs.</t>
        </is>
      </c>
    </row>
  </sheetData>
  <mergeCells count="6">
    <mergeCell ref="A12:H12"/>
    <mergeCell ref="A1:H1"/>
    <mergeCell ref="A3:H3"/>
    <mergeCell ref="A2:H2"/>
    <mergeCell ref="A19:H19"/>
    <mergeCell ref="A5:H5"/>
  </mergeCells>
  <conditionalFormatting sqref="F7:F11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2E75B6"/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TRANSPORT PORTAL</t>
        </is>
      </c>
    </row>
    <row r="2" ht="24" customHeight="1">
      <c r="A2" s="18" t="inlineStr">
        <is>
          <t>Fleet Management, Vehicle Usage &amp; Maintenance</t>
        </is>
      </c>
    </row>
    <row r="3" ht="18" customHeight="1">
      <c r="A3" s="19" t="inlineStr">
        <is>
          <t>Unit: Transport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Vehicle Availability Rate</t>
        </is>
      </c>
      <c r="B7" s="22">
        <f>IFERROR(INDEX(tbl_UnitPlans[Target_Monthly],MATCH("Vehicle Availability Rate",tbl_UnitPlans[KPI_Name],0)),"—")</f>
        <v/>
      </c>
      <c r="C7" s="23">
        <f>IFERROR(INDEX(tbl_UnitPlans[Actual_MTD],MATCH("Vehicle Availability Rate",tbl_UnitPlans[KPI_Name],0)),"—")</f>
        <v/>
      </c>
      <c r="D7" s="23">
        <f>IFERROR(INDEX(tbl_UnitPlans[Variance_Monthly],MATCH("Vehicle Availability Rate",tbl_UnitPlans[KPI_Name],0)),"—")</f>
        <v/>
      </c>
      <c r="E7" s="24">
        <f>IFERROR(INDEX(tbl_UnitPlans[Achievement_Pct_Monthly],MATCH("Vehicle Availability Rate",tbl_UnitPlans[KPI_Name],0)),"—")</f>
        <v/>
      </c>
      <c r="F7" s="23">
        <f>IFERROR(INDEX(tbl_UnitPlans[TrafficLight_Monthly],MATCH("Vehicle Availability Rate",tbl_UnitPlans[KPI_Name],0)),"—")</f>
        <v/>
      </c>
    </row>
    <row r="8">
      <c r="A8" s="22" t="inlineStr">
        <is>
          <t>Ops Support Coverage</t>
        </is>
      </c>
      <c r="B8" s="22">
        <f>IFERROR(INDEX(tbl_UnitPlans[Target_Monthly],MATCH("Ops Support Coverage",tbl_UnitPlans[KPI_Name],0)),"—")</f>
        <v/>
      </c>
      <c r="C8" s="23">
        <f>IFERROR(INDEX(tbl_UnitPlans[Actual_MTD],MATCH("Ops Support Coverage",tbl_UnitPlans[KPI_Name],0)),"—")</f>
        <v/>
      </c>
      <c r="D8" s="23">
        <f>IFERROR(INDEX(tbl_UnitPlans[Variance_Monthly],MATCH("Ops Support Coverage",tbl_UnitPlans[KPI_Name],0)),"—")</f>
        <v/>
      </c>
      <c r="E8" s="24">
        <f>IFERROR(INDEX(tbl_UnitPlans[Achievement_Pct_Monthly],MATCH("Ops Support Coverage",tbl_UnitPlans[KPI_Name],0)),"—")</f>
        <v/>
      </c>
      <c r="F8" s="23">
        <f>IFERROR(INDEX(tbl_UnitPlans[TrafficLight_Monthly],MATCH("Ops Support Coverage",tbl_UnitPlans[KPI_Name],0)),"—")</f>
        <v/>
      </c>
    </row>
    <row r="9">
      <c r="A9" s="22" t="inlineStr">
        <is>
          <t>Maintenance Compliance</t>
        </is>
      </c>
      <c r="B9" s="22">
        <f>IFERROR(INDEX(tbl_UnitPlans[Target_Monthly],MATCH("Maintenance Compliance",tbl_UnitPlans[KPI_Name],0)),"—")</f>
        <v/>
      </c>
      <c r="C9" s="23">
        <f>IFERROR(INDEX(tbl_UnitPlans[Actual_MTD],MATCH("Maintenance Compliance",tbl_UnitPlans[KPI_Name],0)),"—")</f>
        <v/>
      </c>
      <c r="D9" s="23">
        <f>IFERROR(INDEX(tbl_UnitPlans[Variance_Monthly],MATCH("Maintenance Compliance",tbl_UnitPlans[KPI_Name],0)),"—")</f>
        <v/>
      </c>
      <c r="E9" s="24">
        <f>IFERROR(INDEX(tbl_UnitPlans[Achievement_Pct_Monthly],MATCH("Maintenance Compliance",tbl_UnitPlans[KPI_Name],0)),"—")</f>
        <v/>
      </c>
      <c r="F9" s="23">
        <f>IFERROR(INDEX(tbl_UnitPlans[TrafficLight_Monthly],MATCH("Maintenance Compliance",tbl_UnitPlans[KPI_Name],0)),"—")</f>
        <v/>
      </c>
    </row>
    <row r="10">
      <c r="A10" s="22" t="inlineStr">
        <is>
          <t>Avg Downtime Days</t>
        </is>
      </c>
      <c r="B10" s="22">
        <f>IFERROR(INDEX(tbl_UnitPlans[Target_Monthly],MATCH("Avg Downtime Days",tbl_UnitPlans[KPI_Name],0)),"—")</f>
        <v/>
      </c>
      <c r="C10" s="23">
        <f>IFERROR(INDEX(tbl_UnitPlans[Actual_MTD],MATCH("Avg Downtime Days",tbl_UnitPlans[KPI_Name],0)),"—")</f>
        <v/>
      </c>
      <c r="D10" s="23">
        <f>IFERROR(INDEX(tbl_UnitPlans[Variance_Monthly],MATCH("Avg Downtime Days",tbl_UnitPlans[KPI_Name],0)),"—")</f>
        <v/>
      </c>
      <c r="E10" s="24">
        <f>IFERROR(INDEX(tbl_UnitPlans[Achievement_Pct_Monthly],MATCH("Avg Downtime Days",tbl_UnitPlans[KPI_Name],0)),"—")</f>
        <v/>
      </c>
      <c r="F10" s="23">
        <f>IFERROR(INDEX(tbl_UnitPlans[TrafficLight_Monthly],MATCH("Avg Downtime Days",tbl_UnitPlans[KPI_Name],0)),"—")</f>
        <v/>
      </c>
    </row>
    <row r="12">
      <c r="A12" s="20" t="inlineStr">
        <is>
          <t>QUICK STATISTICS</t>
        </is>
      </c>
    </row>
    <row r="13">
      <c r="A13" s="25" t="inlineStr">
        <is>
          <t>Total Vehicles</t>
        </is>
      </c>
      <c r="B13" s="25" t="inlineStr">
        <is>
          <t>Available</t>
        </is>
      </c>
      <c r="C13" s="25" t="inlineStr">
        <is>
          <t>In Use</t>
        </is>
      </c>
      <c r="D13" s="25" t="inlineStr">
        <is>
          <t>Under Maintenance</t>
        </is>
      </c>
      <c r="E13" s="25" t="inlineStr">
        <is>
          <t>Out of Service</t>
        </is>
      </c>
      <c r="F13" s="25" t="inlineStr">
        <is>
          <t>Service Overdue</t>
        </is>
      </c>
      <c r="G13" s="25" t="inlineStr">
        <is>
          <t>Total Fuel (L)</t>
        </is>
      </c>
      <c r="H13" s="25" t="inlineStr">
        <is>
          <t>Active Drivers</t>
        </is>
      </c>
    </row>
    <row r="14">
      <c r="A14" s="26">
        <f>COUNTA(tbl_Vehicles[VehicleID])-COUNTBLANK(tbl_Vehicles[VehicleID])</f>
        <v/>
      </c>
      <c r="B14" s="26">
        <f>COUNTIF(tbl_Vehicles[CurrentStatus],"Available")</f>
        <v/>
      </c>
      <c r="C14" s="26">
        <f>COUNTIF(tbl_Vehicles[CurrentStatus],"In Use")</f>
        <v/>
      </c>
      <c r="D14" s="26">
        <f>COUNTIF(tbl_Vehicles[CurrentStatus],"Under Maintenance")</f>
        <v/>
      </c>
      <c r="E14" s="26">
        <f>COUNTIF(tbl_Vehicles[CurrentStatus],"Out of Service")</f>
        <v/>
      </c>
      <c r="F14" s="26">
        <f>COUNTIFS(tbl_Vehicles[NextServiceDue],"&lt;"&amp;TODAY())</f>
        <v/>
      </c>
      <c r="G14" s="26">
        <f>SUM(tbl_FuelLog[Litres])</f>
        <v/>
      </c>
      <c r="H14" s="26">
        <f>COUNTIF(tbl_Drivers[Status],"Active")</f>
        <v/>
      </c>
    </row>
    <row r="19">
      <c r="A19" s="27" t="inlineStr">
        <is>
          <t>DATA ENTRY: Use 'tbl_Vehicles' for fleet register, 'tbl_VehicleUsage' for trip logs, 'tbl_FuelLog' for fuel records, 'tbl_Maintenance' for service records, 'tbl_Drivers' for driver registry.</t>
        </is>
      </c>
    </row>
  </sheetData>
  <mergeCells count="6">
    <mergeCell ref="A12:H12"/>
    <mergeCell ref="A1:H1"/>
    <mergeCell ref="A3:H3"/>
    <mergeCell ref="A2:H2"/>
    <mergeCell ref="A19:H19"/>
    <mergeCell ref="A5:H5"/>
  </mergeCells>
  <conditionalFormatting sqref="F7:F11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00B050"/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DEMAND REDUCTION PORTAL</t>
        </is>
      </c>
    </row>
    <row r="2" ht="24" customHeight="1">
      <c r="A2" s="18" t="inlineStr">
        <is>
          <t>Community Outreach Lectures &amp; Activity Tracking</t>
        </is>
      </c>
    </row>
    <row r="3" ht="18" customHeight="1">
      <c r="A3" s="19" t="inlineStr">
        <is>
          <t>Unit: Demand Reduction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Lectures Delivered</t>
        </is>
      </c>
      <c r="B7" s="22">
        <f>IFERROR(INDEX(tbl_UnitPlans[Target_Monthly],MATCH("Lectures Delivered",tbl_UnitPlans[KPI_Name],0)),"—")</f>
        <v/>
      </c>
      <c r="C7" s="23">
        <f>IFERROR(INDEX(tbl_UnitPlans[Actual_MTD],MATCH("Lectures Delivered",tbl_UnitPlans[KPI_Name],0)),"—")</f>
        <v/>
      </c>
      <c r="D7" s="23">
        <f>IFERROR(INDEX(tbl_UnitPlans[Variance_Monthly],MATCH("Lectures Delivered",tbl_UnitPlans[KPI_Name],0)),"—")</f>
        <v/>
      </c>
      <c r="E7" s="24">
        <f>IFERROR(INDEX(tbl_UnitPlans[Achievement_Pct_Monthly],MATCH("Lectures Delivered",tbl_UnitPlans[KPI_Name],0)),"—")</f>
        <v/>
      </c>
      <c r="F7" s="23">
        <f>IFERROR(INDEX(tbl_UnitPlans[TrafficLight_Monthly],MATCH("Lectures Delivered",tbl_UnitPlans[KPI_Name],0)),"—")</f>
        <v/>
      </c>
    </row>
    <row r="8">
      <c r="A8" s="22" t="inlineStr">
        <is>
          <t>Total Attendance</t>
        </is>
      </c>
      <c r="B8" s="22">
        <f>IFERROR(INDEX(tbl_UnitPlans[Target_Monthly],MATCH("Total Attendance",tbl_UnitPlans[KPI_Name],0)),"—")</f>
        <v/>
      </c>
      <c r="C8" s="23">
        <f>IFERROR(INDEX(tbl_UnitPlans[Actual_MTD],MATCH("Total Attendance",tbl_UnitPlans[KPI_Name],0)),"—")</f>
        <v/>
      </c>
      <c r="D8" s="23">
        <f>IFERROR(INDEX(tbl_UnitPlans[Variance_Monthly],MATCH("Total Attendance",tbl_UnitPlans[KPI_Name],0)),"—")</f>
        <v/>
      </c>
      <c r="E8" s="24">
        <f>IFERROR(INDEX(tbl_UnitPlans[Achievement_Pct_Monthly],MATCH("Total Attendance",tbl_UnitPlans[KPI_Name],0)),"—")</f>
        <v/>
      </c>
      <c r="F8" s="23">
        <f>IFERROR(INDEX(tbl_UnitPlans[TrafficLight_Monthly],MATCH("Total Attendance",tbl_UnitPlans[KPI_Name],0)),"—")</f>
        <v/>
      </c>
    </row>
    <row r="9">
      <c r="A9" s="22" t="inlineStr">
        <is>
          <t>Communities Reached</t>
        </is>
      </c>
      <c r="B9" s="22">
        <f>IFERROR(INDEX(tbl_UnitPlans[Target_Monthly],MATCH("Communities Reached",tbl_UnitPlans[KPI_Name],0)),"—")</f>
        <v/>
      </c>
      <c r="C9" s="23">
        <f>IFERROR(INDEX(tbl_UnitPlans[Actual_MTD],MATCH("Communities Reached",tbl_UnitPlans[KPI_Name],0)),"—")</f>
        <v/>
      </c>
      <c r="D9" s="23">
        <f>IFERROR(INDEX(tbl_UnitPlans[Variance_Monthly],MATCH("Communities Reached",tbl_UnitPlans[KPI_Name],0)),"—")</f>
        <v/>
      </c>
      <c r="E9" s="24">
        <f>IFERROR(INDEX(tbl_UnitPlans[Achievement_Pct_Monthly],MATCH("Communities Reached",tbl_UnitPlans[KPI_Name],0)),"—")</f>
        <v/>
      </c>
      <c r="F9" s="23">
        <f>IFERROR(INDEX(tbl_UnitPlans[TrafficLight_Monthly],MATCH("Communities Reached",tbl_UnitPlans[KPI_Name],0)),"—")</f>
        <v/>
      </c>
    </row>
    <row r="11">
      <c r="A11" s="20" t="inlineStr">
        <is>
          <t>QUICK STATISTICS</t>
        </is>
      </c>
    </row>
    <row r="12">
      <c r="A12" s="25" t="inlineStr">
        <is>
          <t>Sessions Held</t>
        </is>
      </c>
      <c r="B12" s="25" t="inlineStr">
        <is>
          <t>Total Attendance</t>
        </is>
      </c>
      <c r="C12" s="25" t="inlineStr">
        <is>
          <t>Avg Attendance</t>
        </is>
      </c>
      <c r="D12" s="25" t="inlineStr">
        <is>
          <t>Total Hours</t>
        </is>
      </c>
      <c r="E12" s="25" t="inlineStr">
        <is>
          <t>With Follow-Up</t>
        </is>
      </c>
      <c r="F12" s="25" t="inlineStr">
        <is>
          <t>Parishes Covered</t>
        </is>
      </c>
    </row>
    <row r="13">
      <c r="A13" s="26">
        <f>COUNTA(tbl_DemandReduction[LectureID])-COUNTBLANK(tbl_DemandReduction[LectureID])</f>
        <v/>
      </c>
      <c r="B13" s="26">
        <f>SUM(tbl_DemandReduction[Attendance])</f>
        <v/>
      </c>
      <c r="C13" s="26">
        <f>IFERROR(AVERAGE(tbl_DemandReduction[Attendance]),"—")</f>
        <v/>
      </c>
      <c r="D13" s="26">
        <f>SUM(tbl_DemandReduction[Duration_Hrs])</f>
        <v/>
      </c>
      <c r="E13" s="26">
        <f>COUNTIF(tbl_DemandReduction[FollowUpPlanned],"Yes")</f>
        <v/>
      </c>
      <c r="F13" s="26">
        <f>IFERROR(SUMPRODUCT(1/COUNTIF(tbl_DemandReduction[Parish],tbl_DemandReduction[Parish])),"—")</f>
        <v/>
      </c>
    </row>
    <row r="15">
      <c r="A15" s="27" t="inlineStr">
        <is>
          <t>DATA ENTRY: Navigate to 'tbl_DemandReduction' to log outreach sessions, attendance, topics, and outcomes.</t>
        </is>
      </c>
    </row>
  </sheetData>
  <mergeCells count="6">
    <mergeCell ref="A1:H1"/>
    <mergeCell ref="A3:H3"/>
    <mergeCell ref="A15:H15"/>
    <mergeCell ref="A2:H2"/>
    <mergeCell ref="A11:H11"/>
    <mergeCell ref="A5:H5"/>
  </mergeCells>
  <conditionalFormatting sqref="F7:F10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3864"/>
    <outlinePr summaryBelow="1" summaryRight="1"/>
    <pageSetUpPr/>
  </sheetPr>
  <dimension ref="A1:M93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 ht="48" customHeight="1">
      <c r="A1" s="30" t="inlineStr">
        <is>
          <t>FNID AREA 3 — EXECUTIVE DASHBOARD</t>
        </is>
      </c>
    </row>
    <row r="2" ht="28" customHeight="1">
      <c r="A2" s="31" t="inlineStr">
        <is>
          <t>Integrated Operational Picture  |  Intelligence → Cases → Operations → Evidence → Performance</t>
        </is>
      </c>
    </row>
    <row r="4">
      <c r="A4" s="20" t="inlineStr">
        <is>
          <t>OPERATIONAL OVERVIEW</t>
        </is>
      </c>
    </row>
    <row r="5">
      <c r="A5" s="32" t="inlineStr">
        <is>
          <t>Total Cases</t>
        </is>
      </c>
      <c r="B5" s="32" t="inlineStr">
        <is>
          <t>Active Cases</t>
        </is>
      </c>
      <c r="C5" s="32" t="inlineStr">
        <is>
          <t>Cases Closed</t>
        </is>
      </c>
      <c r="D5" s="32" t="inlineStr">
        <is>
          <t>Total Leads</t>
        </is>
      </c>
      <c r="E5" s="32" t="inlineStr">
        <is>
          <t>Leads Converted</t>
        </is>
      </c>
      <c r="F5" s="32" t="inlineStr">
        <is>
          <t>Total Ops</t>
        </is>
      </c>
      <c r="G5" s="32" t="inlineStr">
        <is>
          <t>FCSI Ops</t>
        </is>
      </c>
      <c r="H5" s="32" t="inlineStr">
        <is>
          <t>Firearms Seized</t>
        </is>
      </c>
      <c r="I5" s="32" t="inlineStr">
        <is>
          <t>Ammo Seized</t>
        </is>
      </c>
      <c r="J5" s="32" t="inlineStr">
        <is>
          <t>Narcotics (kg)</t>
        </is>
      </c>
      <c r="K5" s="32" t="inlineStr">
        <is>
          <t>Arrests</t>
        </is>
      </c>
      <c r="L5" s="32" t="inlineStr">
        <is>
          <t>Total Exhibits</t>
        </is>
      </c>
    </row>
    <row r="6">
      <c r="A6" s="33">
        <f>COUNTA(tbl_Cases[CaseID])-COUNTBLANK(tbl_Cases[CaseID])</f>
        <v/>
      </c>
      <c r="B6" s="33">
        <f>COUNTIF(tbl_Cases[CaseStatus],"Active")+COUNTIF(tbl_Cases[CaseStatus],"Under Investigation")</f>
        <v/>
      </c>
      <c r="C6" s="33">
        <f>COUNTIFS(tbl_Cases[CaseStatus],"Closed*")</f>
        <v/>
      </c>
      <c r="D6" s="33">
        <f>COUNTA(tbl_Leads[LeadID])-COUNTBLANK(tbl_Leads[LeadID])</f>
        <v/>
      </c>
      <c r="E6" s="33">
        <f>COUNTIF(tbl_Leads[Outcome],"Converted to Case")+COUNTIF(tbl_Leads[Outcome],"Converted to Op")</f>
        <v/>
      </c>
      <c r="F6" s="33">
        <f>COUNTA(tbl_Operations[OPS_ID])-COUNTBLANK(tbl_Operations[OPS_ID])</f>
        <v/>
      </c>
      <c r="G6" s="33">
        <f>COUNTIF(tbl_Operations[FCSI_Flag],"Yes")</f>
        <v/>
      </c>
      <c r="H6" s="33">
        <f>SUM(tbl_Operations[FirearmsSeized])</f>
        <v/>
      </c>
      <c r="I6" s="33">
        <f>SUM(tbl_Operations[AmmunitionSeized])</f>
        <v/>
      </c>
      <c r="J6" s="33">
        <f>SUM(tbl_Operations[NarcoticsSeized_kg])</f>
        <v/>
      </c>
      <c r="K6" s="33">
        <f>SUM(tbl_Operations[Arrests])</f>
        <v/>
      </c>
      <c r="L6" s="33">
        <f>COUNTA(tbl_Exhibits[ExhibitID])-COUNTBLANK(tbl_Exhibits[ExhibitID])</f>
        <v/>
      </c>
    </row>
    <row r="8">
      <c r="A8" s="20" t="inlineStr">
        <is>
          <t>INTELLIGENCE PIPELINE</t>
        </is>
      </c>
    </row>
    <row r="9">
      <c r="A9" s="34" t="inlineStr">
        <is>
          <t>MCR Entries</t>
        </is>
      </c>
      <c r="B9" s="34" t="inlineStr">
        <is>
          <t>FNID-Relevant MCRs</t>
        </is>
      </c>
      <c r="C9" s="34" t="inlineStr">
        <is>
          <t>MCR→Lead Rate</t>
        </is>
      </c>
      <c r="D9" s="34" t="inlineStr">
        <is>
          <t>Leads Pending Triage</t>
        </is>
      </c>
      <c r="E9" s="34" t="inlineStr">
        <is>
          <t>High/Crit Leads</t>
        </is>
      </c>
      <c r="F9" s="34" t="inlineStr">
        <is>
          <t>Lead→Case Conv %</t>
        </is>
      </c>
      <c r="G9" s="34" t="inlineStr">
        <is>
          <t>Intel Briefings</t>
        </is>
      </c>
      <c r="H9" s="34" t="inlineStr">
        <is>
          <t>Follow-Up Overdue</t>
        </is>
      </c>
    </row>
    <row r="10">
      <c r="A10" s="26">
        <f>COUNTA(tbl_MCR_Raw[MCR_ID])-COUNTBLANK(tbl_MCR_Raw[MCR_ID])</f>
        <v/>
      </c>
      <c r="B10" s="26">
        <f>COUNTIF(tbl_MCR_Raw[FNID_Relevant],"Yes")</f>
        <v/>
      </c>
      <c r="C10" s="26">
        <f>IFERROR(COUNTIFS(tbl_MCR_Raw[LinkedLeadID],"&lt;&gt;")/COUNTIF(tbl_MCR_Raw[FNID_Relevant],"Yes"),"—")</f>
        <v/>
      </c>
      <c r="D10" s="26">
        <f>COUNTBLANK(tbl_Leads[TriageDecision])</f>
        <v/>
      </c>
      <c r="E10" s="26">
        <f>COUNTIFS(tbl_Leads[Priority],"High")+COUNTIFS(tbl_Leads[Priority],"Critical")</f>
        <v/>
      </c>
      <c r="F10" s="26">
        <f>IFERROR(COUNTIF(tbl_Leads[Outcome],"Converted to Case")/(COUNTA(tbl_Leads[LeadID])-COUNTBLANK(tbl_Leads[LeadID])),"—")</f>
        <v/>
      </c>
      <c r="G10" s="26">
        <f>COUNTA(tbl_IntelBriefings[BriefingID])-COUNTBLANK(tbl_IntelBriefings[BriefingID])</f>
        <v/>
      </c>
      <c r="H10" s="26">
        <f>COUNTIFS(tbl_Leads[FollowUpDueDate],"&lt;"&amp;TODAY(),tbl_Leads[FollowUpRequired],"Yes")</f>
        <v/>
      </c>
    </row>
    <row r="12">
      <c r="A12" s="35" t="inlineStr">
        <is>
          <t>FOCUSED CRIME SUPPRESSION INITIATIVE (FCSI)</t>
        </is>
      </c>
    </row>
    <row r="13">
      <c r="A13" s="36" t="inlineStr">
        <is>
          <t>FCSI Ops Conducted</t>
        </is>
      </c>
      <c r="B13" s="36" t="inlineStr">
        <is>
          <t>Non-FCSI Ops</t>
        </is>
      </c>
      <c r="C13" s="36" t="inlineStr">
        <is>
          <t>FCSI Arrests</t>
        </is>
      </c>
      <c r="D13" s="36" t="inlineStr">
        <is>
          <t>FCSI Firearms Seized</t>
        </is>
      </c>
      <c r="E13" s="36" t="inlineStr">
        <is>
          <t>FCSI Narcotics (kg)</t>
        </is>
      </c>
      <c r="F13" s="36" t="inlineStr">
        <is>
          <t>FCSI Positive Outcome %</t>
        </is>
      </c>
    </row>
    <row r="14">
      <c r="A14" s="26">
        <f>COUNTIF(tbl_Operations[FCSI_Flag],"Yes")</f>
        <v/>
      </c>
      <c r="B14" s="26">
        <f>COUNTIF(tbl_Operations[FCSI_Flag],"No")</f>
        <v/>
      </c>
      <c r="C14" s="26">
        <f>SUMIFS(tbl_Operations[Arrests],tbl_Operations[FCSI_Flag],"Yes")</f>
        <v/>
      </c>
      <c r="D14" s="26">
        <f>SUMIFS(tbl_Operations[FirearmsSeized],tbl_Operations[FCSI_Flag],"Yes")</f>
        <v/>
      </c>
      <c r="E14" s="26">
        <f>SUMIFS(tbl_Operations[NarcoticsSeized_kg],tbl_Operations[FCSI_Flag],"Yes")</f>
        <v/>
      </c>
      <c r="F14" s="26">
        <f>IFERROR(COUNTIFS(tbl_Operations[FCSI_Flag],"Yes",tbl_Operations[Arrests],"&gt;"&amp;0)/COUNTIF(tbl_Operations[FCSI_Flag],"Yes"),"—")</f>
        <v/>
      </c>
    </row>
    <row r="16">
      <c r="A16" s="20" t="inlineStr">
        <is>
          <t>EVIDENCE &amp; FORENSIC STATUS</t>
        </is>
      </c>
    </row>
    <row r="17">
      <c r="A17" s="37" t="inlineStr">
        <is>
          <t>Total Exhibits</t>
        </is>
      </c>
      <c r="B17" s="37" t="inlineStr">
        <is>
          <t>Pending Analysis</t>
        </is>
      </c>
      <c r="C17" s="37" t="inlineStr">
        <is>
          <t>Submitted</t>
        </is>
      </c>
      <c r="D17" s="37" t="inlineStr">
        <is>
          <t>In Progress</t>
        </is>
      </c>
      <c r="E17" s="37" t="inlineStr">
        <is>
          <t>Completed</t>
        </is>
      </c>
      <c r="F17" s="37" t="inlineStr">
        <is>
          <t>Court Ready</t>
        </is>
      </c>
      <c r="G17" s="37" t="inlineStr">
        <is>
          <t>Not Court Ready</t>
        </is>
      </c>
      <c r="H17" s="37" t="inlineStr">
        <is>
          <t>Overdue Returns</t>
        </is>
      </c>
    </row>
    <row r="18">
      <c r="A18" s="26">
        <f>COUNTA(tbl_Exhibits[ExhibitID])-COUNTBLANK(tbl_Exhibits[ExhibitID])</f>
        <v/>
      </c>
      <c r="B18" s="26">
        <f>COUNTIF(tbl_Exhibits[AnalysisStatus],"Pending")</f>
        <v/>
      </c>
      <c r="C18" s="26">
        <f>COUNTIF(tbl_Exhibits[AnalysisStatus],"Submitted")</f>
        <v/>
      </c>
      <c r="D18" s="26">
        <f>COUNTIF(tbl_Exhibits[AnalysisStatus],"In Progress")</f>
        <v/>
      </c>
      <c r="E18" s="26">
        <f>COUNTIF(tbl_Exhibits[AnalysisStatus],"Completed")</f>
        <v/>
      </c>
      <c r="F18" s="26">
        <f>COUNTIF(tbl_Exhibits[CourtReadiness],"Ready")</f>
        <v/>
      </c>
      <c r="G18" s="26">
        <f>COUNTIF(tbl_Exhibits[CourtReadiness],"Not Ready")</f>
        <v/>
      </c>
      <c r="H18" s="26">
        <f>COUNTIFS(tbl_Exhibits[ExpectedReturn],"&lt;"&amp;TODAY(),tbl_Exhibits[ActualReturnDate],"")</f>
        <v/>
      </c>
    </row>
    <row r="20">
      <c r="A20" s="20" t="inlineStr">
        <is>
          <t>TRANSPORT &amp; FLEET STATUS</t>
        </is>
      </c>
    </row>
    <row r="21">
      <c r="A21" s="32" t="inlineStr">
        <is>
          <t>Total Fleet</t>
        </is>
      </c>
      <c r="B21" s="32" t="inlineStr">
        <is>
          <t>Available</t>
        </is>
      </c>
      <c r="C21" s="32" t="inlineStr">
        <is>
          <t>In Use</t>
        </is>
      </c>
      <c r="D21" s="32" t="inlineStr">
        <is>
          <t>Under Maint.</t>
        </is>
      </c>
      <c r="E21" s="32" t="inlineStr">
        <is>
          <t>Out of Service</t>
        </is>
      </c>
      <c r="F21" s="32" t="inlineStr">
        <is>
          <t>Service Overdue</t>
        </is>
      </c>
      <c r="G21" s="32" t="inlineStr">
        <is>
          <t>Total Fuel (L)</t>
        </is>
      </c>
      <c r="H21" s="32" t="inlineStr">
        <is>
          <t>Active Drivers</t>
        </is>
      </c>
    </row>
    <row r="22">
      <c r="A22" s="26">
        <f>COUNTA(tbl_Vehicles[VehicleID])-COUNTBLANK(tbl_Vehicles[VehicleID])</f>
        <v/>
      </c>
      <c r="B22" s="26">
        <f>COUNTIF(tbl_Vehicles[CurrentStatus],"Available")</f>
        <v/>
      </c>
      <c r="C22" s="26">
        <f>COUNTIF(tbl_Vehicles[CurrentStatus],"In Use")</f>
        <v/>
      </c>
      <c r="D22" s="26">
        <f>COUNTIF(tbl_Vehicles[CurrentStatus],"Under Maintenance")</f>
        <v/>
      </c>
      <c r="E22" s="26">
        <f>COUNTIF(tbl_Vehicles[CurrentStatus],"Out of Service")</f>
        <v/>
      </c>
      <c r="F22" s="26">
        <f>COUNTIFS(tbl_Vehicles[NextServiceDue],"&lt;"&amp;TODAY())</f>
        <v/>
      </c>
      <c r="G22" s="26">
        <f>SUM(tbl_FuelLog[Litres])</f>
        <v/>
      </c>
      <c r="H22" s="26">
        <f>COUNTIF(tbl_Drivers[Status],"Active")</f>
        <v/>
      </c>
    </row>
    <row r="24">
      <c r="A24" s="20" t="inlineStr">
        <is>
          <t>DEMAND REDUCTION &amp; COMMUNITY OUTREACH</t>
        </is>
      </c>
    </row>
    <row r="25">
      <c r="A25" s="38" t="inlineStr">
        <is>
          <t>Sessions Held</t>
        </is>
      </c>
      <c r="B25" s="38" t="inlineStr">
        <is>
          <t>Total Attendance</t>
        </is>
      </c>
      <c r="C25" s="38" t="inlineStr">
        <is>
          <t>Avg Attendance</t>
        </is>
      </c>
      <c r="D25" s="38" t="inlineStr">
        <is>
          <t>Total Hours</t>
        </is>
      </c>
      <c r="E25" s="38" t="inlineStr">
        <is>
          <t>With Follow-Up</t>
        </is>
      </c>
    </row>
    <row r="26">
      <c r="A26" s="26">
        <f>COUNTA(tbl_DemandReduction[LectureID])-COUNTBLANK(tbl_DemandReduction[LectureID])</f>
        <v/>
      </c>
      <c r="B26" s="26">
        <f>SUM(tbl_DemandReduction[Attendance])</f>
        <v/>
      </c>
      <c r="C26" s="26">
        <f>IFERROR(AVERAGE(tbl_DemandReduction[Attendance]),"—")</f>
        <v/>
      </c>
      <c r="D26" s="26">
        <f>SUM(tbl_DemandReduction[Duration_Hrs])</f>
        <v/>
      </c>
      <c r="E26" s="26">
        <f>COUNTIF(tbl_DemandReduction[FollowUpPlanned],"Yes")</f>
        <v/>
      </c>
    </row>
    <row r="28">
      <c r="A28" s="39" t="inlineStr">
        <is>
          <t>COMPLIANCE &amp; GOVERNANCE ALERTS</t>
        </is>
      </c>
    </row>
    <row r="29">
      <c r="A29" s="40" t="inlineStr">
        <is>
          <t>Overdue Actions</t>
        </is>
      </c>
      <c r="B29" s="40" t="inlineStr">
        <is>
          <t>Overdue Reviews</t>
        </is>
      </c>
      <c r="C29" s="40" t="inlineStr">
        <is>
          <t>Non-Compliant Cases</t>
        </is>
      </c>
      <c r="D29" s="40" t="inlineStr">
        <is>
          <t>Overdue Forensics</t>
        </is>
      </c>
      <c r="E29" s="40" t="inlineStr">
        <is>
          <t>Overdue Follow-Ups</t>
        </is>
      </c>
      <c r="F29" s="40" t="inlineStr">
        <is>
          <t>KPIs Off Track</t>
        </is>
      </c>
      <c r="G29" s="40" t="inlineStr">
        <is>
          <t>KPIs At Risk</t>
        </is>
      </c>
      <c r="H29" s="40" t="inlineStr">
        <is>
          <t>Vehicle Service Overdue</t>
        </is>
      </c>
    </row>
    <row r="30">
      <c r="A30" s="41">
        <f>COUNTIFS(tbl_Actions[DueDate],"&lt;"&amp;TODAY(),tbl_Actions[CompletedDate],"")</f>
        <v/>
      </c>
      <c r="B30" s="41">
        <f>COUNTIFS(tbl_Reviews[DueDate],"&lt;"&amp;TODAY(),tbl_Reviews[Status],"&lt;&gt;Completed")</f>
        <v/>
      </c>
      <c r="C30" s="41">
        <f>COUNTIF(tbl_Cases[ComplianceFlag],"Non-Compliant")</f>
        <v/>
      </c>
      <c r="D30" s="41">
        <f>COUNTIFS(tbl_Exhibits[ExpectedReturn],"&lt;"&amp;TODAY(),tbl_Exhibits[ActualReturnDate],"")</f>
        <v/>
      </c>
      <c r="E30" s="41">
        <f>COUNTIFS(tbl_Leads[FollowUpDueDate],"&lt;"&amp;TODAY(),tbl_Leads[FollowUpRequired],"Yes")</f>
        <v/>
      </c>
      <c r="F30" s="41">
        <f>COUNTIF(tbl_UnitPlans[TrafficLight_Monthly],"Off Track")</f>
        <v/>
      </c>
      <c r="G30" s="41">
        <f>COUNTIF(tbl_UnitPlans[TrafficLight_Monthly],"At Risk")</f>
        <v/>
      </c>
      <c r="H30" s="41">
        <f>COUNTIFS(tbl_Vehicles[NextServiceDue],"&lt;"&amp;TODAY())</f>
        <v/>
      </c>
    </row>
    <row r="32">
      <c r="A32" s="20" t="inlineStr">
        <is>
          <t>UNIT PERFORMANCE — PLAN vs ACTUAL (ALL UNITS)</t>
        </is>
      </c>
    </row>
    <row r="33">
      <c r="A33" s="13" t="inlineStr">
        <is>
          <t>Unit</t>
        </is>
      </c>
      <c r="B33" s="13" t="inlineStr">
        <is>
          <t>KPI</t>
        </is>
      </c>
      <c r="C33" s="13" t="inlineStr">
        <is>
          <t>Target (Monthly)</t>
        </is>
      </c>
      <c r="D33" s="13" t="inlineStr">
        <is>
          <t>Actual (MTD)</t>
        </is>
      </c>
      <c r="E33" s="13" t="inlineStr">
        <is>
          <t>Variance</t>
        </is>
      </c>
      <c r="F33" s="13" t="inlineStr">
        <is>
          <t>Achievement %</t>
        </is>
      </c>
      <c r="G33" s="13" t="inlineStr">
        <is>
          <t>Status (Monthly)</t>
        </is>
      </c>
    </row>
    <row r="34">
      <c r="A34" s="22">
        <f>INDEX(tbl_UnitPlans[Unit],1)</f>
        <v/>
      </c>
      <c r="B34" s="22">
        <f>INDEX(tbl_UnitPlans[KPI_Name],1)</f>
        <v/>
      </c>
      <c r="C34" s="22">
        <f>INDEX(tbl_UnitPlans[Target_Monthly],1)</f>
        <v/>
      </c>
      <c r="D34" s="22">
        <f>INDEX(tbl_UnitPlans[Actual_MTD],1)</f>
        <v/>
      </c>
      <c r="E34" s="22">
        <f>INDEX(tbl_UnitPlans[Variance_Monthly],1)</f>
        <v/>
      </c>
      <c r="F34" s="42">
        <f>INDEX(tbl_UnitPlans[Achievement_Pct_Monthly],1)</f>
        <v/>
      </c>
      <c r="G34" s="22">
        <f>INDEX(tbl_UnitPlans[TrafficLight_Monthly],1)</f>
        <v/>
      </c>
    </row>
    <row r="35">
      <c r="A35" s="22">
        <f>INDEX(tbl_UnitPlans[Unit],2)</f>
        <v/>
      </c>
      <c r="B35" s="22">
        <f>INDEX(tbl_UnitPlans[KPI_Name],2)</f>
        <v/>
      </c>
      <c r="C35" s="22">
        <f>INDEX(tbl_UnitPlans[Target_Monthly],2)</f>
        <v/>
      </c>
      <c r="D35" s="22">
        <f>INDEX(tbl_UnitPlans[Actual_MTD],2)</f>
        <v/>
      </c>
      <c r="E35" s="22">
        <f>INDEX(tbl_UnitPlans[Variance_Monthly],2)</f>
        <v/>
      </c>
      <c r="F35" s="42">
        <f>INDEX(tbl_UnitPlans[Achievement_Pct_Monthly],2)</f>
        <v/>
      </c>
      <c r="G35" s="22">
        <f>INDEX(tbl_UnitPlans[TrafficLight_Monthly],2)</f>
        <v/>
      </c>
    </row>
    <row r="36">
      <c r="A36" s="22">
        <f>INDEX(tbl_UnitPlans[Unit],3)</f>
        <v/>
      </c>
      <c r="B36" s="22">
        <f>INDEX(tbl_UnitPlans[KPI_Name],3)</f>
        <v/>
      </c>
      <c r="C36" s="22">
        <f>INDEX(tbl_UnitPlans[Target_Monthly],3)</f>
        <v/>
      </c>
      <c r="D36" s="22">
        <f>INDEX(tbl_UnitPlans[Actual_MTD],3)</f>
        <v/>
      </c>
      <c r="E36" s="22">
        <f>INDEX(tbl_UnitPlans[Variance_Monthly],3)</f>
        <v/>
      </c>
      <c r="F36" s="42">
        <f>INDEX(tbl_UnitPlans[Achievement_Pct_Monthly],3)</f>
        <v/>
      </c>
      <c r="G36" s="22">
        <f>INDEX(tbl_UnitPlans[TrafficLight_Monthly],3)</f>
        <v/>
      </c>
    </row>
    <row r="37">
      <c r="A37" s="22">
        <f>INDEX(tbl_UnitPlans[Unit],4)</f>
        <v/>
      </c>
      <c r="B37" s="22">
        <f>INDEX(tbl_UnitPlans[KPI_Name],4)</f>
        <v/>
      </c>
      <c r="C37" s="22">
        <f>INDEX(tbl_UnitPlans[Target_Monthly],4)</f>
        <v/>
      </c>
      <c r="D37" s="22">
        <f>INDEX(tbl_UnitPlans[Actual_MTD],4)</f>
        <v/>
      </c>
      <c r="E37" s="22">
        <f>INDEX(tbl_UnitPlans[Variance_Monthly],4)</f>
        <v/>
      </c>
      <c r="F37" s="42">
        <f>INDEX(tbl_UnitPlans[Achievement_Pct_Monthly],4)</f>
        <v/>
      </c>
      <c r="G37" s="22">
        <f>INDEX(tbl_UnitPlans[TrafficLight_Monthly],4)</f>
        <v/>
      </c>
    </row>
    <row r="38">
      <c r="A38" s="22">
        <f>INDEX(tbl_UnitPlans[Unit],5)</f>
        <v/>
      </c>
      <c r="B38" s="22">
        <f>INDEX(tbl_UnitPlans[KPI_Name],5)</f>
        <v/>
      </c>
      <c r="C38" s="22">
        <f>INDEX(tbl_UnitPlans[Target_Monthly],5)</f>
        <v/>
      </c>
      <c r="D38" s="22">
        <f>INDEX(tbl_UnitPlans[Actual_MTD],5)</f>
        <v/>
      </c>
      <c r="E38" s="22">
        <f>INDEX(tbl_UnitPlans[Variance_Monthly],5)</f>
        <v/>
      </c>
      <c r="F38" s="42">
        <f>INDEX(tbl_UnitPlans[Achievement_Pct_Monthly],5)</f>
        <v/>
      </c>
      <c r="G38" s="22">
        <f>INDEX(tbl_UnitPlans[TrafficLight_Monthly],5)</f>
        <v/>
      </c>
    </row>
    <row r="39">
      <c r="A39" s="22">
        <f>INDEX(tbl_UnitPlans[Unit],6)</f>
        <v/>
      </c>
      <c r="B39" s="22">
        <f>INDEX(tbl_UnitPlans[KPI_Name],6)</f>
        <v/>
      </c>
      <c r="C39" s="22">
        <f>INDEX(tbl_UnitPlans[Target_Monthly],6)</f>
        <v/>
      </c>
      <c r="D39" s="22">
        <f>INDEX(tbl_UnitPlans[Actual_MTD],6)</f>
        <v/>
      </c>
      <c r="E39" s="22">
        <f>INDEX(tbl_UnitPlans[Variance_Monthly],6)</f>
        <v/>
      </c>
      <c r="F39" s="42">
        <f>INDEX(tbl_UnitPlans[Achievement_Pct_Monthly],6)</f>
        <v/>
      </c>
      <c r="G39" s="22">
        <f>INDEX(tbl_UnitPlans[TrafficLight_Monthly],6)</f>
        <v/>
      </c>
    </row>
    <row r="40">
      <c r="A40" s="22">
        <f>INDEX(tbl_UnitPlans[Unit],7)</f>
        <v/>
      </c>
      <c r="B40" s="22">
        <f>INDEX(tbl_UnitPlans[KPI_Name],7)</f>
        <v/>
      </c>
      <c r="C40" s="22">
        <f>INDEX(tbl_UnitPlans[Target_Monthly],7)</f>
        <v/>
      </c>
      <c r="D40" s="22">
        <f>INDEX(tbl_UnitPlans[Actual_MTD],7)</f>
        <v/>
      </c>
      <c r="E40" s="22">
        <f>INDEX(tbl_UnitPlans[Variance_Monthly],7)</f>
        <v/>
      </c>
      <c r="F40" s="42">
        <f>INDEX(tbl_UnitPlans[Achievement_Pct_Monthly],7)</f>
        <v/>
      </c>
      <c r="G40" s="22">
        <f>INDEX(tbl_UnitPlans[TrafficLight_Monthly],7)</f>
        <v/>
      </c>
    </row>
    <row r="41">
      <c r="A41" s="22">
        <f>INDEX(tbl_UnitPlans[Unit],8)</f>
        <v/>
      </c>
      <c r="B41" s="22">
        <f>INDEX(tbl_UnitPlans[KPI_Name],8)</f>
        <v/>
      </c>
      <c r="C41" s="22">
        <f>INDEX(tbl_UnitPlans[Target_Monthly],8)</f>
        <v/>
      </c>
      <c r="D41" s="22">
        <f>INDEX(tbl_UnitPlans[Actual_MTD],8)</f>
        <v/>
      </c>
      <c r="E41" s="22">
        <f>INDEX(tbl_UnitPlans[Variance_Monthly],8)</f>
        <v/>
      </c>
      <c r="F41" s="42">
        <f>INDEX(tbl_UnitPlans[Achievement_Pct_Monthly],8)</f>
        <v/>
      </c>
      <c r="G41" s="22">
        <f>INDEX(tbl_UnitPlans[TrafficLight_Monthly],8)</f>
        <v/>
      </c>
    </row>
    <row r="42">
      <c r="A42" s="22">
        <f>INDEX(tbl_UnitPlans[Unit],9)</f>
        <v/>
      </c>
      <c r="B42" s="22">
        <f>INDEX(tbl_UnitPlans[KPI_Name],9)</f>
        <v/>
      </c>
      <c r="C42" s="22">
        <f>INDEX(tbl_UnitPlans[Target_Monthly],9)</f>
        <v/>
      </c>
      <c r="D42" s="22">
        <f>INDEX(tbl_UnitPlans[Actual_MTD],9)</f>
        <v/>
      </c>
      <c r="E42" s="22">
        <f>INDEX(tbl_UnitPlans[Variance_Monthly],9)</f>
        <v/>
      </c>
      <c r="F42" s="42">
        <f>INDEX(tbl_UnitPlans[Achievement_Pct_Monthly],9)</f>
        <v/>
      </c>
      <c r="G42" s="22">
        <f>INDEX(tbl_UnitPlans[TrafficLight_Monthly],9)</f>
        <v/>
      </c>
    </row>
    <row r="43">
      <c r="A43" s="22">
        <f>INDEX(tbl_UnitPlans[Unit],10)</f>
        <v/>
      </c>
      <c r="B43" s="22">
        <f>INDEX(tbl_UnitPlans[KPI_Name],10)</f>
        <v/>
      </c>
      <c r="C43" s="22">
        <f>INDEX(tbl_UnitPlans[Target_Monthly],10)</f>
        <v/>
      </c>
      <c r="D43" s="22">
        <f>INDEX(tbl_UnitPlans[Actual_MTD],10)</f>
        <v/>
      </c>
      <c r="E43" s="22">
        <f>INDEX(tbl_UnitPlans[Variance_Monthly],10)</f>
        <v/>
      </c>
      <c r="F43" s="42">
        <f>INDEX(tbl_UnitPlans[Achievement_Pct_Monthly],10)</f>
        <v/>
      </c>
      <c r="G43" s="22">
        <f>INDEX(tbl_UnitPlans[TrafficLight_Monthly],10)</f>
        <v/>
      </c>
    </row>
    <row r="44">
      <c r="A44" s="22">
        <f>INDEX(tbl_UnitPlans[Unit],11)</f>
        <v/>
      </c>
      <c r="B44" s="22">
        <f>INDEX(tbl_UnitPlans[KPI_Name],11)</f>
        <v/>
      </c>
      <c r="C44" s="22">
        <f>INDEX(tbl_UnitPlans[Target_Monthly],11)</f>
        <v/>
      </c>
      <c r="D44" s="22">
        <f>INDEX(tbl_UnitPlans[Actual_MTD],11)</f>
        <v/>
      </c>
      <c r="E44" s="22">
        <f>INDEX(tbl_UnitPlans[Variance_Monthly],11)</f>
        <v/>
      </c>
      <c r="F44" s="42">
        <f>INDEX(tbl_UnitPlans[Achievement_Pct_Monthly],11)</f>
        <v/>
      </c>
      <c r="G44" s="22">
        <f>INDEX(tbl_UnitPlans[TrafficLight_Monthly],11)</f>
        <v/>
      </c>
    </row>
    <row r="45">
      <c r="A45" s="22">
        <f>INDEX(tbl_UnitPlans[Unit],12)</f>
        <v/>
      </c>
      <c r="B45" s="22">
        <f>INDEX(tbl_UnitPlans[KPI_Name],12)</f>
        <v/>
      </c>
      <c r="C45" s="22">
        <f>INDEX(tbl_UnitPlans[Target_Monthly],12)</f>
        <v/>
      </c>
      <c r="D45" s="22">
        <f>INDEX(tbl_UnitPlans[Actual_MTD],12)</f>
        <v/>
      </c>
      <c r="E45" s="22">
        <f>INDEX(tbl_UnitPlans[Variance_Monthly],12)</f>
        <v/>
      </c>
      <c r="F45" s="42">
        <f>INDEX(tbl_UnitPlans[Achievement_Pct_Monthly],12)</f>
        <v/>
      </c>
      <c r="G45" s="22">
        <f>INDEX(tbl_UnitPlans[TrafficLight_Monthly],12)</f>
        <v/>
      </c>
    </row>
    <row r="46">
      <c r="A46" s="22">
        <f>INDEX(tbl_UnitPlans[Unit],13)</f>
        <v/>
      </c>
      <c r="B46" s="22">
        <f>INDEX(tbl_UnitPlans[KPI_Name],13)</f>
        <v/>
      </c>
      <c r="C46" s="22">
        <f>INDEX(tbl_UnitPlans[Target_Monthly],13)</f>
        <v/>
      </c>
      <c r="D46" s="22">
        <f>INDEX(tbl_UnitPlans[Actual_MTD],13)</f>
        <v/>
      </c>
      <c r="E46" s="22">
        <f>INDEX(tbl_UnitPlans[Variance_Monthly],13)</f>
        <v/>
      </c>
      <c r="F46" s="42">
        <f>INDEX(tbl_UnitPlans[Achievement_Pct_Monthly],13)</f>
        <v/>
      </c>
      <c r="G46" s="22">
        <f>INDEX(tbl_UnitPlans[TrafficLight_Monthly],13)</f>
        <v/>
      </c>
    </row>
    <row r="47">
      <c r="A47" s="22">
        <f>INDEX(tbl_UnitPlans[Unit],14)</f>
        <v/>
      </c>
      <c r="B47" s="22">
        <f>INDEX(tbl_UnitPlans[KPI_Name],14)</f>
        <v/>
      </c>
      <c r="C47" s="22">
        <f>INDEX(tbl_UnitPlans[Target_Monthly],14)</f>
        <v/>
      </c>
      <c r="D47" s="22">
        <f>INDEX(tbl_UnitPlans[Actual_MTD],14)</f>
        <v/>
      </c>
      <c r="E47" s="22">
        <f>INDEX(tbl_UnitPlans[Variance_Monthly],14)</f>
        <v/>
      </c>
      <c r="F47" s="42">
        <f>INDEX(tbl_UnitPlans[Achievement_Pct_Monthly],14)</f>
        <v/>
      </c>
      <c r="G47" s="22">
        <f>INDEX(tbl_UnitPlans[TrafficLight_Monthly],14)</f>
        <v/>
      </c>
    </row>
    <row r="48">
      <c r="A48" s="22">
        <f>INDEX(tbl_UnitPlans[Unit],15)</f>
        <v/>
      </c>
      <c r="B48" s="22">
        <f>INDEX(tbl_UnitPlans[KPI_Name],15)</f>
        <v/>
      </c>
      <c r="C48" s="22">
        <f>INDEX(tbl_UnitPlans[Target_Monthly],15)</f>
        <v/>
      </c>
      <c r="D48" s="22">
        <f>INDEX(tbl_UnitPlans[Actual_MTD],15)</f>
        <v/>
      </c>
      <c r="E48" s="22">
        <f>INDEX(tbl_UnitPlans[Variance_Monthly],15)</f>
        <v/>
      </c>
      <c r="F48" s="42">
        <f>INDEX(tbl_UnitPlans[Achievement_Pct_Monthly],15)</f>
        <v/>
      </c>
      <c r="G48" s="22">
        <f>INDEX(tbl_UnitPlans[TrafficLight_Monthly],15)</f>
        <v/>
      </c>
    </row>
    <row r="49">
      <c r="A49" s="22">
        <f>INDEX(tbl_UnitPlans[Unit],16)</f>
        <v/>
      </c>
      <c r="B49" s="22">
        <f>INDEX(tbl_UnitPlans[KPI_Name],16)</f>
        <v/>
      </c>
      <c r="C49" s="22">
        <f>INDEX(tbl_UnitPlans[Target_Monthly],16)</f>
        <v/>
      </c>
      <c r="D49" s="22">
        <f>INDEX(tbl_UnitPlans[Actual_MTD],16)</f>
        <v/>
      </c>
      <c r="E49" s="22">
        <f>INDEX(tbl_UnitPlans[Variance_Monthly],16)</f>
        <v/>
      </c>
      <c r="F49" s="42">
        <f>INDEX(tbl_UnitPlans[Achievement_Pct_Monthly],16)</f>
        <v/>
      </c>
      <c r="G49" s="22">
        <f>INDEX(tbl_UnitPlans[TrafficLight_Monthly],16)</f>
        <v/>
      </c>
    </row>
    <row r="50">
      <c r="A50" s="22">
        <f>INDEX(tbl_UnitPlans[Unit],17)</f>
        <v/>
      </c>
      <c r="B50" s="22">
        <f>INDEX(tbl_UnitPlans[KPI_Name],17)</f>
        <v/>
      </c>
      <c r="C50" s="22">
        <f>INDEX(tbl_UnitPlans[Target_Monthly],17)</f>
        <v/>
      </c>
      <c r="D50" s="22">
        <f>INDEX(tbl_UnitPlans[Actual_MTD],17)</f>
        <v/>
      </c>
      <c r="E50" s="22">
        <f>INDEX(tbl_UnitPlans[Variance_Monthly],17)</f>
        <v/>
      </c>
      <c r="F50" s="42">
        <f>INDEX(tbl_UnitPlans[Achievement_Pct_Monthly],17)</f>
        <v/>
      </c>
      <c r="G50" s="22">
        <f>INDEX(tbl_UnitPlans[TrafficLight_Monthly],17)</f>
        <v/>
      </c>
    </row>
    <row r="51">
      <c r="A51" s="22">
        <f>INDEX(tbl_UnitPlans[Unit],18)</f>
        <v/>
      </c>
      <c r="B51" s="22">
        <f>INDEX(tbl_UnitPlans[KPI_Name],18)</f>
        <v/>
      </c>
      <c r="C51" s="22">
        <f>INDEX(tbl_UnitPlans[Target_Monthly],18)</f>
        <v/>
      </c>
      <c r="D51" s="22">
        <f>INDEX(tbl_UnitPlans[Actual_MTD],18)</f>
        <v/>
      </c>
      <c r="E51" s="22">
        <f>INDEX(tbl_UnitPlans[Variance_Monthly],18)</f>
        <v/>
      </c>
      <c r="F51" s="42">
        <f>INDEX(tbl_UnitPlans[Achievement_Pct_Monthly],18)</f>
        <v/>
      </c>
      <c r="G51" s="22">
        <f>INDEX(tbl_UnitPlans[TrafficLight_Monthly],18)</f>
        <v/>
      </c>
    </row>
    <row r="52">
      <c r="A52" s="22">
        <f>INDEX(tbl_UnitPlans[Unit],19)</f>
        <v/>
      </c>
      <c r="B52" s="22">
        <f>INDEX(tbl_UnitPlans[KPI_Name],19)</f>
        <v/>
      </c>
      <c r="C52" s="22">
        <f>INDEX(tbl_UnitPlans[Target_Monthly],19)</f>
        <v/>
      </c>
      <c r="D52" s="22">
        <f>INDEX(tbl_UnitPlans[Actual_MTD],19)</f>
        <v/>
      </c>
      <c r="E52" s="22">
        <f>INDEX(tbl_UnitPlans[Variance_Monthly],19)</f>
        <v/>
      </c>
      <c r="F52" s="42">
        <f>INDEX(tbl_UnitPlans[Achievement_Pct_Monthly],19)</f>
        <v/>
      </c>
      <c r="G52" s="22">
        <f>INDEX(tbl_UnitPlans[TrafficLight_Monthly],19)</f>
        <v/>
      </c>
    </row>
    <row r="53">
      <c r="A53" s="22">
        <f>INDEX(tbl_UnitPlans[Unit],20)</f>
        <v/>
      </c>
      <c r="B53" s="22">
        <f>INDEX(tbl_UnitPlans[KPI_Name],20)</f>
        <v/>
      </c>
      <c r="C53" s="22">
        <f>INDEX(tbl_UnitPlans[Target_Monthly],20)</f>
        <v/>
      </c>
      <c r="D53" s="22">
        <f>INDEX(tbl_UnitPlans[Actual_MTD],20)</f>
        <v/>
      </c>
      <c r="E53" s="22">
        <f>INDEX(tbl_UnitPlans[Variance_Monthly],20)</f>
        <v/>
      </c>
      <c r="F53" s="42">
        <f>INDEX(tbl_UnitPlans[Achievement_Pct_Monthly],20)</f>
        <v/>
      </c>
      <c r="G53" s="22">
        <f>INDEX(tbl_UnitPlans[TrafficLight_Monthly],20)</f>
        <v/>
      </c>
    </row>
    <row r="54">
      <c r="A54" s="22">
        <f>INDEX(tbl_UnitPlans[Unit],21)</f>
        <v/>
      </c>
      <c r="B54" s="22">
        <f>INDEX(tbl_UnitPlans[KPI_Name],21)</f>
        <v/>
      </c>
      <c r="C54" s="22">
        <f>INDEX(tbl_UnitPlans[Target_Monthly],21)</f>
        <v/>
      </c>
      <c r="D54" s="22">
        <f>INDEX(tbl_UnitPlans[Actual_MTD],21)</f>
        <v/>
      </c>
      <c r="E54" s="22">
        <f>INDEX(tbl_UnitPlans[Variance_Monthly],21)</f>
        <v/>
      </c>
      <c r="F54" s="42">
        <f>INDEX(tbl_UnitPlans[Achievement_Pct_Monthly],21)</f>
        <v/>
      </c>
      <c r="G54" s="22">
        <f>INDEX(tbl_UnitPlans[TrafficLight_Monthly],21)</f>
        <v/>
      </c>
    </row>
    <row r="55">
      <c r="A55" s="22">
        <f>INDEX(tbl_UnitPlans[Unit],22)</f>
        <v/>
      </c>
      <c r="B55" s="22">
        <f>INDEX(tbl_UnitPlans[KPI_Name],22)</f>
        <v/>
      </c>
      <c r="C55" s="22">
        <f>INDEX(tbl_UnitPlans[Target_Monthly],22)</f>
        <v/>
      </c>
      <c r="D55" s="22">
        <f>INDEX(tbl_UnitPlans[Actual_MTD],22)</f>
        <v/>
      </c>
      <c r="E55" s="22">
        <f>INDEX(tbl_UnitPlans[Variance_Monthly],22)</f>
        <v/>
      </c>
      <c r="F55" s="42">
        <f>INDEX(tbl_UnitPlans[Achievement_Pct_Monthly],22)</f>
        <v/>
      </c>
      <c r="G55" s="22">
        <f>INDEX(tbl_UnitPlans[TrafficLight_Monthly],22)</f>
        <v/>
      </c>
    </row>
    <row r="56">
      <c r="A56" s="22">
        <f>INDEX(tbl_UnitPlans[Unit],23)</f>
        <v/>
      </c>
      <c r="B56" s="22">
        <f>INDEX(tbl_UnitPlans[KPI_Name],23)</f>
        <v/>
      </c>
      <c r="C56" s="22">
        <f>INDEX(tbl_UnitPlans[Target_Monthly],23)</f>
        <v/>
      </c>
      <c r="D56" s="22">
        <f>INDEX(tbl_UnitPlans[Actual_MTD],23)</f>
        <v/>
      </c>
      <c r="E56" s="22">
        <f>INDEX(tbl_UnitPlans[Variance_Monthly],23)</f>
        <v/>
      </c>
      <c r="F56" s="42">
        <f>INDEX(tbl_UnitPlans[Achievement_Pct_Monthly],23)</f>
        <v/>
      </c>
      <c r="G56" s="22">
        <f>INDEX(tbl_UnitPlans[TrafficLight_Monthly],23)</f>
        <v/>
      </c>
    </row>
    <row r="57">
      <c r="A57" s="22">
        <f>INDEX(tbl_UnitPlans[Unit],24)</f>
        <v/>
      </c>
      <c r="B57" s="22">
        <f>INDEX(tbl_UnitPlans[KPI_Name],24)</f>
        <v/>
      </c>
      <c r="C57" s="22">
        <f>INDEX(tbl_UnitPlans[Target_Monthly],24)</f>
        <v/>
      </c>
      <c r="D57" s="22">
        <f>INDEX(tbl_UnitPlans[Actual_MTD],24)</f>
        <v/>
      </c>
      <c r="E57" s="22">
        <f>INDEX(tbl_UnitPlans[Variance_Monthly],24)</f>
        <v/>
      </c>
      <c r="F57" s="42">
        <f>INDEX(tbl_UnitPlans[Achievement_Pct_Monthly],24)</f>
        <v/>
      </c>
      <c r="G57" s="22">
        <f>INDEX(tbl_UnitPlans[TrafficLight_Monthly],24)</f>
        <v/>
      </c>
    </row>
    <row r="58">
      <c r="A58" s="22">
        <f>INDEX(tbl_UnitPlans[Unit],25)</f>
        <v/>
      </c>
      <c r="B58" s="22">
        <f>INDEX(tbl_UnitPlans[KPI_Name],25)</f>
        <v/>
      </c>
      <c r="C58" s="22">
        <f>INDEX(tbl_UnitPlans[Target_Monthly],25)</f>
        <v/>
      </c>
      <c r="D58" s="22">
        <f>INDEX(tbl_UnitPlans[Actual_MTD],25)</f>
        <v/>
      </c>
      <c r="E58" s="22">
        <f>INDEX(tbl_UnitPlans[Variance_Monthly],25)</f>
        <v/>
      </c>
      <c r="F58" s="42">
        <f>INDEX(tbl_UnitPlans[Achievement_Pct_Monthly],25)</f>
        <v/>
      </c>
      <c r="G58" s="22">
        <f>INDEX(tbl_UnitPlans[TrafficLight_Monthly],25)</f>
        <v/>
      </c>
    </row>
    <row r="59">
      <c r="A59" s="22">
        <f>INDEX(tbl_UnitPlans[Unit],26)</f>
        <v/>
      </c>
      <c r="B59" s="22">
        <f>INDEX(tbl_UnitPlans[KPI_Name],26)</f>
        <v/>
      </c>
      <c r="C59" s="22">
        <f>INDEX(tbl_UnitPlans[Target_Monthly],26)</f>
        <v/>
      </c>
      <c r="D59" s="22">
        <f>INDEX(tbl_UnitPlans[Actual_MTD],26)</f>
        <v/>
      </c>
      <c r="E59" s="22">
        <f>INDEX(tbl_UnitPlans[Variance_Monthly],26)</f>
        <v/>
      </c>
      <c r="F59" s="42">
        <f>INDEX(tbl_UnitPlans[Achievement_Pct_Monthly],26)</f>
        <v/>
      </c>
      <c r="G59" s="22">
        <f>INDEX(tbl_UnitPlans[TrafficLight_Monthly],26)</f>
        <v/>
      </c>
    </row>
    <row r="60">
      <c r="A60" s="22">
        <f>INDEX(tbl_UnitPlans[Unit],27)</f>
        <v/>
      </c>
      <c r="B60" s="22">
        <f>INDEX(tbl_UnitPlans[KPI_Name],27)</f>
        <v/>
      </c>
      <c r="C60" s="22">
        <f>INDEX(tbl_UnitPlans[Target_Monthly],27)</f>
        <v/>
      </c>
      <c r="D60" s="22">
        <f>INDEX(tbl_UnitPlans[Actual_MTD],27)</f>
        <v/>
      </c>
      <c r="E60" s="22">
        <f>INDEX(tbl_UnitPlans[Variance_Monthly],27)</f>
        <v/>
      </c>
      <c r="F60" s="42">
        <f>INDEX(tbl_UnitPlans[Achievement_Pct_Monthly],27)</f>
        <v/>
      </c>
      <c r="G60" s="22">
        <f>INDEX(tbl_UnitPlans[TrafficLight_Monthly],27)</f>
        <v/>
      </c>
    </row>
    <row r="61">
      <c r="A61" s="22">
        <f>INDEX(tbl_UnitPlans[Unit],28)</f>
        <v/>
      </c>
      <c r="B61" s="22">
        <f>INDEX(tbl_UnitPlans[KPI_Name],28)</f>
        <v/>
      </c>
      <c r="C61" s="22">
        <f>INDEX(tbl_UnitPlans[Target_Monthly],28)</f>
        <v/>
      </c>
      <c r="D61" s="22">
        <f>INDEX(tbl_UnitPlans[Actual_MTD],28)</f>
        <v/>
      </c>
      <c r="E61" s="22">
        <f>INDEX(tbl_UnitPlans[Variance_Monthly],28)</f>
        <v/>
      </c>
      <c r="F61" s="42">
        <f>INDEX(tbl_UnitPlans[Achievement_Pct_Monthly],28)</f>
        <v/>
      </c>
      <c r="G61" s="22">
        <f>INDEX(tbl_UnitPlans[TrafficLight_Monthly],28)</f>
        <v/>
      </c>
    </row>
    <row r="62">
      <c r="A62" s="22">
        <f>INDEX(tbl_UnitPlans[Unit],29)</f>
        <v/>
      </c>
      <c r="B62" s="22">
        <f>INDEX(tbl_UnitPlans[KPI_Name],29)</f>
        <v/>
      </c>
      <c r="C62" s="22">
        <f>INDEX(tbl_UnitPlans[Target_Monthly],29)</f>
        <v/>
      </c>
      <c r="D62" s="22">
        <f>INDEX(tbl_UnitPlans[Actual_MTD],29)</f>
        <v/>
      </c>
      <c r="E62" s="22">
        <f>INDEX(tbl_UnitPlans[Variance_Monthly],29)</f>
        <v/>
      </c>
      <c r="F62" s="42">
        <f>INDEX(tbl_UnitPlans[Achievement_Pct_Monthly],29)</f>
        <v/>
      </c>
      <c r="G62" s="22">
        <f>INDEX(tbl_UnitPlans[TrafficLight_Monthly],29)</f>
        <v/>
      </c>
    </row>
    <row r="63">
      <c r="A63" s="22">
        <f>INDEX(tbl_UnitPlans[Unit],30)</f>
        <v/>
      </c>
      <c r="B63" s="22">
        <f>INDEX(tbl_UnitPlans[KPI_Name],30)</f>
        <v/>
      </c>
      <c r="C63" s="22">
        <f>INDEX(tbl_UnitPlans[Target_Monthly],30)</f>
        <v/>
      </c>
      <c r="D63" s="22">
        <f>INDEX(tbl_UnitPlans[Actual_MTD],30)</f>
        <v/>
      </c>
      <c r="E63" s="22">
        <f>INDEX(tbl_UnitPlans[Variance_Monthly],30)</f>
        <v/>
      </c>
      <c r="F63" s="42">
        <f>INDEX(tbl_UnitPlans[Achievement_Pct_Monthly],30)</f>
        <v/>
      </c>
      <c r="G63" s="22">
        <f>INDEX(tbl_UnitPlans[TrafficLight_Monthly],30)</f>
        <v/>
      </c>
    </row>
    <row r="64">
      <c r="A64" s="22">
        <f>INDEX(tbl_UnitPlans[Unit],31)</f>
        <v/>
      </c>
      <c r="B64" s="22">
        <f>INDEX(tbl_UnitPlans[KPI_Name],31)</f>
        <v/>
      </c>
      <c r="C64" s="22">
        <f>INDEX(tbl_UnitPlans[Target_Monthly],31)</f>
        <v/>
      </c>
      <c r="D64" s="22">
        <f>INDEX(tbl_UnitPlans[Actual_MTD],31)</f>
        <v/>
      </c>
      <c r="E64" s="22">
        <f>INDEX(tbl_UnitPlans[Variance_Monthly],31)</f>
        <v/>
      </c>
      <c r="F64" s="42">
        <f>INDEX(tbl_UnitPlans[Achievement_Pct_Monthly],31)</f>
        <v/>
      </c>
      <c r="G64" s="22">
        <f>INDEX(tbl_UnitPlans[TrafficLight_Monthly],31)</f>
        <v/>
      </c>
    </row>
    <row r="65">
      <c r="A65" s="22">
        <f>INDEX(tbl_UnitPlans[Unit],32)</f>
        <v/>
      </c>
      <c r="B65" s="22">
        <f>INDEX(tbl_UnitPlans[KPI_Name],32)</f>
        <v/>
      </c>
      <c r="C65" s="22">
        <f>INDEX(tbl_UnitPlans[Target_Monthly],32)</f>
        <v/>
      </c>
      <c r="D65" s="22">
        <f>INDEX(tbl_UnitPlans[Actual_MTD],32)</f>
        <v/>
      </c>
      <c r="E65" s="22">
        <f>INDEX(tbl_UnitPlans[Variance_Monthly],32)</f>
        <v/>
      </c>
      <c r="F65" s="42">
        <f>INDEX(tbl_UnitPlans[Achievement_Pct_Monthly],32)</f>
        <v/>
      </c>
      <c r="G65" s="22">
        <f>INDEX(tbl_UnitPlans[TrafficLight_Monthly],32)</f>
        <v/>
      </c>
    </row>
    <row r="67">
      <c r="A67" s="20" t="inlineStr">
        <is>
          <t>12-MONTH TREND ANALYSIS (Current Year)</t>
        </is>
      </c>
    </row>
    <row r="68">
      <c r="A68" s="58" t="inlineStr">
        <is>
          <t>Metric</t>
        </is>
      </c>
      <c r="B68" s="21" t="inlineStr">
        <is>
          <t>Jan</t>
        </is>
      </c>
      <c r="C68" s="21" t="inlineStr">
        <is>
          <t>Feb</t>
        </is>
      </c>
      <c r="D68" s="21" t="inlineStr">
        <is>
          <t>Mar</t>
        </is>
      </c>
      <c r="E68" s="21" t="inlineStr">
        <is>
          <t>Apr</t>
        </is>
      </c>
      <c r="F68" s="21" t="inlineStr">
        <is>
          <t>May</t>
        </is>
      </c>
      <c r="G68" s="21" t="inlineStr">
        <is>
          <t>Jun</t>
        </is>
      </c>
      <c r="H68" s="21" t="inlineStr">
        <is>
          <t>Jul</t>
        </is>
      </c>
      <c r="I68" s="21" t="inlineStr">
        <is>
          <t>Aug</t>
        </is>
      </c>
      <c r="J68" s="21" t="inlineStr">
        <is>
          <t>Sep</t>
        </is>
      </c>
      <c r="K68" s="21" t="inlineStr">
        <is>
          <t>Oct</t>
        </is>
      </c>
      <c r="L68" s="21" t="inlineStr">
        <is>
          <t>Nov</t>
        </is>
      </c>
      <c r="M68" s="21" t="inlineStr">
        <is>
          <t>Dec</t>
        </is>
      </c>
    </row>
    <row r="69">
      <c r="A69" s="28" t="inlineStr">
        <is>
          <t>Cases Registered</t>
        </is>
      </c>
      <c r="B69" s="22">
        <f>COUNTIFS(tbl_Cases[Month],1,tbl_Cases[Year],YEAR(TODAY()))</f>
        <v/>
      </c>
      <c r="C69" s="22">
        <f>COUNTIFS(tbl_Cases[Month],2,tbl_Cases[Year],YEAR(TODAY()))</f>
        <v/>
      </c>
      <c r="D69" s="22">
        <f>COUNTIFS(tbl_Cases[Month],3,tbl_Cases[Year],YEAR(TODAY()))</f>
        <v/>
      </c>
      <c r="E69" s="22">
        <f>COUNTIFS(tbl_Cases[Month],4,tbl_Cases[Year],YEAR(TODAY()))</f>
        <v/>
      </c>
      <c r="F69" s="22">
        <f>COUNTIFS(tbl_Cases[Month],5,tbl_Cases[Year],YEAR(TODAY()))</f>
        <v/>
      </c>
      <c r="G69" s="22">
        <f>COUNTIFS(tbl_Cases[Month],6,tbl_Cases[Year],YEAR(TODAY()))</f>
        <v/>
      </c>
      <c r="H69" s="22">
        <f>COUNTIFS(tbl_Cases[Month],7,tbl_Cases[Year],YEAR(TODAY()))</f>
        <v/>
      </c>
      <c r="I69" s="22">
        <f>COUNTIFS(tbl_Cases[Month],8,tbl_Cases[Year],YEAR(TODAY()))</f>
        <v/>
      </c>
      <c r="J69" s="22">
        <f>COUNTIFS(tbl_Cases[Month],9,tbl_Cases[Year],YEAR(TODAY()))</f>
        <v/>
      </c>
      <c r="K69" s="22">
        <f>COUNTIFS(tbl_Cases[Month],10,tbl_Cases[Year],YEAR(TODAY()))</f>
        <v/>
      </c>
      <c r="L69" s="22">
        <f>COUNTIFS(tbl_Cases[Month],11,tbl_Cases[Year],YEAR(TODAY()))</f>
        <v/>
      </c>
      <c r="M69" s="22">
        <f>COUNTIFS(tbl_Cases[Month],12,tbl_Cases[Year],YEAR(TODAY()))</f>
        <v/>
      </c>
    </row>
    <row r="70">
      <c r="A70" s="28" t="inlineStr">
        <is>
          <t>Cases Closed</t>
        </is>
      </c>
      <c r="B70" s="22">
        <f>COUNTIFS(tbl_Cases[CaseStatus],"Closed*",tbl_Cases[Month],1,tbl_Cases[Year],YEAR(TODAY()))</f>
        <v/>
      </c>
      <c r="C70" s="22">
        <f>COUNTIFS(tbl_Cases[CaseStatus],"Closed*",tbl_Cases[Month],2,tbl_Cases[Year],YEAR(TODAY()))</f>
        <v/>
      </c>
      <c r="D70" s="22">
        <f>COUNTIFS(tbl_Cases[CaseStatus],"Closed*",tbl_Cases[Month],3,tbl_Cases[Year],YEAR(TODAY()))</f>
        <v/>
      </c>
      <c r="E70" s="22">
        <f>COUNTIFS(tbl_Cases[CaseStatus],"Closed*",tbl_Cases[Month],4,tbl_Cases[Year],YEAR(TODAY()))</f>
        <v/>
      </c>
      <c r="F70" s="22">
        <f>COUNTIFS(tbl_Cases[CaseStatus],"Closed*",tbl_Cases[Month],5,tbl_Cases[Year],YEAR(TODAY()))</f>
        <v/>
      </c>
      <c r="G70" s="22">
        <f>COUNTIFS(tbl_Cases[CaseStatus],"Closed*",tbl_Cases[Month],6,tbl_Cases[Year],YEAR(TODAY()))</f>
        <v/>
      </c>
      <c r="H70" s="22">
        <f>COUNTIFS(tbl_Cases[CaseStatus],"Closed*",tbl_Cases[Month],7,tbl_Cases[Year],YEAR(TODAY()))</f>
        <v/>
      </c>
      <c r="I70" s="22">
        <f>COUNTIFS(tbl_Cases[CaseStatus],"Closed*",tbl_Cases[Month],8,tbl_Cases[Year],YEAR(TODAY()))</f>
        <v/>
      </c>
      <c r="J70" s="22">
        <f>COUNTIFS(tbl_Cases[CaseStatus],"Closed*",tbl_Cases[Month],9,tbl_Cases[Year],YEAR(TODAY()))</f>
        <v/>
      </c>
      <c r="K70" s="22">
        <f>COUNTIFS(tbl_Cases[CaseStatus],"Closed*",tbl_Cases[Month],10,tbl_Cases[Year],YEAR(TODAY()))</f>
        <v/>
      </c>
      <c r="L70" s="22">
        <f>COUNTIFS(tbl_Cases[CaseStatus],"Closed*",tbl_Cases[Month],11,tbl_Cases[Year],YEAR(TODAY()))</f>
        <v/>
      </c>
      <c r="M70" s="22">
        <f>COUNTIFS(tbl_Cases[CaseStatus],"Closed*",tbl_Cases[Month],12,tbl_Cases[Year],YEAR(TODAY()))</f>
        <v/>
      </c>
    </row>
    <row r="71">
      <c r="A71" s="28" t="inlineStr">
        <is>
          <t>Leads Received</t>
        </is>
      </c>
      <c r="B71" s="22">
        <f>COUNTIFS(tbl_Leads[Month],1,tbl_Leads[Year],YEAR(TODAY()))</f>
        <v/>
      </c>
      <c r="C71" s="22">
        <f>COUNTIFS(tbl_Leads[Month],2,tbl_Leads[Year],YEAR(TODAY()))</f>
        <v/>
      </c>
      <c r="D71" s="22">
        <f>COUNTIFS(tbl_Leads[Month],3,tbl_Leads[Year],YEAR(TODAY()))</f>
        <v/>
      </c>
      <c r="E71" s="22">
        <f>COUNTIFS(tbl_Leads[Month],4,tbl_Leads[Year],YEAR(TODAY()))</f>
        <v/>
      </c>
      <c r="F71" s="22">
        <f>COUNTIFS(tbl_Leads[Month],5,tbl_Leads[Year],YEAR(TODAY()))</f>
        <v/>
      </c>
      <c r="G71" s="22">
        <f>COUNTIFS(tbl_Leads[Month],6,tbl_Leads[Year],YEAR(TODAY()))</f>
        <v/>
      </c>
      <c r="H71" s="22">
        <f>COUNTIFS(tbl_Leads[Month],7,tbl_Leads[Year],YEAR(TODAY()))</f>
        <v/>
      </c>
      <c r="I71" s="22">
        <f>COUNTIFS(tbl_Leads[Month],8,tbl_Leads[Year],YEAR(TODAY()))</f>
        <v/>
      </c>
      <c r="J71" s="22">
        <f>COUNTIFS(tbl_Leads[Month],9,tbl_Leads[Year],YEAR(TODAY()))</f>
        <v/>
      </c>
      <c r="K71" s="22">
        <f>COUNTIFS(tbl_Leads[Month],10,tbl_Leads[Year],YEAR(TODAY()))</f>
        <v/>
      </c>
      <c r="L71" s="22">
        <f>COUNTIFS(tbl_Leads[Month],11,tbl_Leads[Year],YEAR(TODAY()))</f>
        <v/>
      </c>
      <c r="M71" s="22">
        <f>COUNTIFS(tbl_Leads[Month],12,tbl_Leads[Year],YEAR(TODAY()))</f>
        <v/>
      </c>
    </row>
    <row r="72">
      <c r="A72" s="28" t="inlineStr">
        <is>
          <t>Operations Conducted</t>
        </is>
      </c>
      <c r="B72" s="22">
        <f>COUNTIFS(tbl_Operations[Month],1,tbl_Operations[Year],YEAR(TODAY()))</f>
        <v/>
      </c>
      <c r="C72" s="22">
        <f>COUNTIFS(tbl_Operations[Month],2,tbl_Operations[Year],YEAR(TODAY()))</f>
        <v/>
      </c>
      <c r="D72" s="22">
        <f>COUNTIFS(tbl_Operations[Month],3,tbl_Operations[Year],YEAR(TODAY()))</f>
        <v/>
      </c>
      <c r="E72" s="22">
        <f>COUNTIFS(tbl_Operations[Month],4,tbl_Operations[Year],YEAR(TODAY()))</f>
        <v/>
      </c>
      <c r="F72" s="22">
        <f>COUNTIFS(tbl_Operations[Month],5,tbl_Operations[Year],YEAR(TODAY()))</f>
        <v/>
      </c>
      <c r="G72" s="22">
        <f>COUNTIFS(tbl_Operations[Month],6,tbl_Operations[Year],YEAR(TODAY()))</f>
        <v/>
      </c>
      <c r="H72" s="22">
        <f>COUNTIFS(tbl_Operations[Month],7,tbl_Operations[Year],YEAR(TODAY()))</f>
        <v/>
      </c>
      <c r="I72" s="22">
        <f>COUNTIFS(tbl_Operations[Month],8,tbl_Operations[Year],YEAR(TODAY()))</f>
        <v/>
      </c>
      <c r="J72" s="22">
        <f>COUNTIFS(tbl_Operations[Month],9,tbl_Operations[Year],YEAR(TODAY()))</f>
        <v/>
      </c>
      <c r="K72" s="22">
        <f>COUNTIFS(tbl_Operations[Month],10,tbl_Operations[Year],YEAR(TODAY()))</f>
        <v/>
      </c>
      <c r="L72" s="22">
        <f>COUNTIFS(tbl_Operations[Month],11,tbl_Operations[Year],YEAR(TODAY()))</f>
        <v/>
      </c>
      <c r="M72" s="22">
        <f>COUNTIFS(tbl_Operations[Month],12,tbl_Operations[Year],YEAR(TODAY()))</f>
        <v/>
      </c>
    </row>
    <row r="73">
      <c r="A73" s="28" t="inlineStr">
        <is>
          <t>FCSI Operations</t>
        </is>
      </c>
      <c r="B73" s="22">
        <f>COUNTIFS(tbl_Operations[FCSI_Flag],"Yes",tbl_Operations[Month],1,tbl_Operations[Year],YEAR(TODAY()))</f>
        <v/>
      </c>
      <c r="C73" s="22">
        <f>COUNTIFS(tbl_Operations[FCSI_Flag],"Yes",tbl_Operations[Month],2,tbl_Operations[Year],YEAR(TODAY()))</f>
        <v/>
      </c>
      <c r="D73" s="22">
        <f>COUNTIFS(tbl_Operations[FCSI_Flag],"Yes",tbl_Operations[Month],3,tbl_Operations[Year],YEAR(TODAY()))</f>
        <v/>
      </c>
      <c r="E73" s="22">
        <f>COUNTIFS(tbl_Operations[FCSI_Flag],"Yes",tbl_Operations[Month],4,tbl_Operations[Year],YEAR(TODAY()))</f>
        <v/>
      </c>
      <c r="F73" s="22">
        <f>COUNTIFS(tbl_Operations[FCSI_Flag],"Yes",tbl_Operations[Month],5,tbl_Operations[Year],YEAR(TODAY()))</f>
        <v/>
      </c>
      <c r="G73" s="22">
        <f>COUNTIFS(tbl_Operations[FCSI_Flag],"Yes",tbl_Operations[Month],6,tbl_Operations[Year],YEAR(TODAY()))</f>
        <v/>
      </c>
      <c r="H73" s="22">
        <f>COUNTIFS(tbl_Operations[FCSI_Flag],"Yes",tbl_Operations[Month],7,tbl_Operations[Year],YEAR(TODAY()))</f>
        <v/>
      </c>
      <c r="I73" s="22">
        <f>COUNTIFS(tbl_Operations[FCSI_Flag],"Yes",tbl_Operations[Month],8,tbl_Operations[Year],YEAR(TODAY()))</f>
        <v/>
      </c>
      <c r="J73" s="22">
        <f>COUNTIFS(tbl_Operations[FCSI_Flag],"Yes",tbl_Operations[Month],9,tbl_Operations[Year],YEAR(TODAY()))</f>
        <v/>
      </c>
      <c r="K73" s="22">
        <f>COUNTIFS(tbl_Operations[FCSI_Flag],"Yes",tbl_Operations[Month],10,tbl_Operations[Year],YEAR(TODAY()))</f>
        <v/>
      </c>
      <c r="L73" s="22">
        <f>COUNTIFS(tbl_Operations[FCSI_Flag],"Yes",tbl_Operations[Month],11,tbl_Operations[Year],YEAR(TODAY()))</f>
        <v/>
      </c>
      <c r="M73" s="22">
        <f>COUNTIFS(tbl_Operations[FCSI_Flag],"Yes",tbl_Operations[Month],12,tbl_Operations[Year],YEAR(TODAY()))</f>
        <v/>
      </c>
    </row>
    <row r="74">
      <c r="A74" s="28" t="inlineStr">
        <is>
          <t>Firearms Seized</t>
        </is>
      </c>
      <c r="B74" s="22">
        <f>SUMIFS(tbl_Operations[FirearmsSeized],tbl_Operations[Month],1,tbl_Operations[Year],YEAR(TODAY()))</f>
        <v/>
      </c>
      <c r="C74" s="22">
        <f>SUMIFS(tbl_Operations[FirearmsSeized],tbl_Operations[Month],2,tbl_Operations[Year],YEAR(TODAY()))</f>
        <v/>
      </c>
      <c r="D74" s="22">
        <f>SUMIFS(tbl_Operations[FirearmsSeized],tbl_Operations[Month],3,tbl_Operations[Year],YEAR(TODAY()))</f>
        <v/>
      </c>
      <c r="E74" s="22">
        <f>SUMIFS(tbl_Operations[FirearmsSeized],tbl_Operations[Month],4,tbl_Operations[Year],YEAR(TODAY()))</f>
        <v/>
      </c>
      <c r="F74" s="22">
        <f>SUMIFS(tbl_Operations[FirearmsSeized],tbl_Operations[Month],5,tbl_Operations[Year],YEAR(TODAY()))</f>
        <v/>
      </c>
      <c r="G74" s="22">
        <f>SUMIFS(tbl_Operations[FirearmsSeized],tbl_Operations[Month],6,tbl_Operations[Year],YEAR(TODAY()))</f>
        <v/>
      </c>
      <c r="H74" s="22">
        <f>SUMIFS(tbl_Operations[FirearmsSeized],tbl_Operations[Month],7,tbl_Operations[Year],YEAR(TODAY()))</f>
        <v/>
      </c>
      <c r="I74" s="22">
        <f>SUMIFS(tbl_Operations[FirearmsSeized],tbl_Operations[Month],8,tbl_Operations[Year],YEAR(TODAY()))</f>
        <v/>
      </c>
      <c r="J74" s="22">
        <f>SUMIFS(tbl_Operations[FirearmsSeized],tbl_Operations[Month],9,tbl_Operations[Year],YEAR(TODAY()))</f>
        <v/>
      </c>
      <c r="K74" s="22">
        <f>SUMIFS(tbl_Operations[FirearmsSeized],tbl_Operations[Month],10,tbl_Operations[Year],YEAR(TODAY()))</f>
        <v/>
      </c>
      <c r="L74" s="22">
        <f>SUMIFS(tbl_Operations[FirearmsSeized],tbl_Operations[Month],11,tbl_Operations[Year],YEAR(TODAY()))</f>
        <v/>
      </c>
      <c r="M74" s="22">
        <f>SUMIFS(tbl_Operations[FirearmsSeized],tbl_Operations[Month],12,tbl_Operations[Year],YEAR(TODAY()))</f>
        <v/>
      </c>
    </row>
    <row r="75">
      <c r="A75" s="28" t="inlineStr">
        <is>
          <t>Narcotics Seized (kg)</t>
        </is>
      </c>
      <c r="B75" s="22">
        <f>SUMIFS(tbl_Operations[NarcoticsSeized_kg],tbl_Operations[Month],1,tbl_Operations[Year],YEAR(TODAY()))</f>
        <v/>
      </c>
      <c r="C75" s="22">
        <f>SUMIFS(tbl_Operations[NarcoticsSeized_kg],tbl_Operations[Month],2,tbl_Operations[Year],YEAR(TODAY()))</f>
        <v/>
      </c>
      <c r="D75" s="22">
        <f>SUMIFS(tbl_Operations[NarcoticsSeized_kg],tbl_Operations[Month],3,tbl_Operations[Year],YEAR(TODAY()))</f>
        <v/>
      </c>
      <c r="E75" s="22">
        <f>SUMIFS(tbl_Operations[NarcoticsSeized_kg],tbl_Operations[Month],4,tbl_Operations[Year],YEAR(TODAY()))</f>
        <v/>
      </c>
      <c r="F75" s="22">
        <f>SUMIFS(tbl_Operations[NarcoticsSeized_kg],tbl_Operations[Month],5,tbl_Operations[Year],YEAR(TODAY()))</f>
        <v/>
      </c>
      <c r="G75" s="22">
        <f>SUMIFS(tbl_Operations[NarcoticsSeized_kg],tbl_Operations[Month],6,tbl_Operations[Year],YEAR(TODAY()))</f>
        <v/>
      </c>
      <c r="H75" s="22">
        <f>SUMIFS(tbl_Operations[NarcoticsSeized_kg],tbl_Operations[Month],7,tbl_Operations[Year],YEAR(TODAY()))</f>
        <v/>
      </c>
      <c r="I75" s="22">
        <f>SUMIFS(tbl_Operations[NarcoticsSeized_kg],tbl_Operations[Month],8,tbl_Operations[Year],YEAR(TODAY()))</f>
        <v/>
      </c>
      <c r="J75" s="22">
        <f>SUMIFS(tbl_Operations[NarcoticsSeized_kg],tbl_Operations[Month],9,tbl_Operations[Year],YEAR(TODAY()))</f>
        <v/>
      </c>
      <c r="K75" s="22">
        <f>SUMIFS(tbl_Operations[NarcoticsSeized_kg],tbl_Operations[Month],10,tbl_Operations[Year],YEAR(TODAY()))</f>
        <v/>
      </c>
      <c r="L75" s="22">
        <f>SUMIFS(tbl_Operations[NarcoticsSeized_kg],tbl_Operations[Month],11,tbl_Operations[Year],YEAR(TODAY()))</f>
        <v/>
      </c>
      <c r="M75" s="22">
        <f>SUMIFS(tbl_Operations[NarcoticsSeized_kg],tbl_Operations[Month],12,tbl_Operations[Year],YEAR(TODAY()))</f>
        <v/>
      </c>
    </row>
    <row r="76">
      <c r="A76" s="28" t="inlineStr">
        <is>
          <t>Arrests Made</t>
        </is>
      </c>
      <c r="B76" s="22">
        <f>SUMIFS(tbl_Operations[Arrests],tbl_Operations[Month],1,tbl_Operations[Year],YEAR(TODAY()))</f>
        <v/>
      </c>
      <c r="C76" s="22">
        <f>SUMIFS(tbl_Operations[Arrests],tbl_Operations[Month],2,tbl_Operations[Year],YEAR(TODAY()))</f>
        <v/>
      </c>
      <c r="D76" s="22">
        <f>SUMIFS(tbl_Operations[Arrests],tbl_Operations[Month],3,tbl_Operations[Year],YEAR(TODAY()))</f>
        <v/>
      </c>
      <c r="E76" s="22">
        <f>SUMIFS(tbl_Operations[Arrests],tbl_Operations[Month],4,tbl_Operations[Year],YEAR(TODAY()))</f>
        <v/>
      </c>
      <c r="F76" s="22">
        <f>SUMIFS(tbl_Operations[Arrests],tbl_Operations[Month],5,tbl_Operations[Year],YEAR(TODAY()))</f>
        <v/>
      </c>
      <c r="G76" s="22">
        <f>SUMIFS(tbl_Operations[Arrests],tbl_Operations[Month],6,tbl_Operations[Year],YEAR(TODAY()))</f>
        <v/>
      </c>
      <c r="H76" s="22">
        <f>SUMIFS(tbl_Operations[Arrests],tbl_Operations[Month],7,tbl_Operations[Year],YEAR(TODAY()))</f>
        <v/>
      </c>
      <c r="I76" s="22">
        <f>SUMIFS(tbl_Operations[Arrests],tbl_Operations[Month],8,tbl_Operations[Year],YEAR(TODAY()))</f>
        <v/>
      </c>
      <c r="J76" s="22">
        <f>SUMIFS(tbl_Operations[Arrests],tbl_Operations[Month],9,tbl_Operations[Year],YEAR(TODAY()))</f>
        <v/>
      </c>
      <c r="K76" s="22">
        <f>SUMIFS(tbl_Operations[Arrests],tbl_Operations[Month],10,tbl_Operations[Year],YEAR(TODAY()))</f>
        <v/>
      </c>
      <c r="L76" s="22">
        <f>SUMIFS(tbl_Operations[Arrests],tbl_Operations[Month],11,tbl_Operations[Year],YEAR(TODAY()))</f>
        <v/>
      </c>
      <c r="M76" s="22">
        <f>SUMIFS(tbl_Operations[Arrests],tbl_Operations[Month],12,tbl_Operations[Year],YEAR(TODAY()))</f>
        <v/>
      </c>
    </row>
    <row r="77">
      <c r="A77" s="28" t="inlineStr">
        <is>
          <t>Exhibits Collected</t>
        </is>
      </c>
      <c r="B77" s="22">
        <f>COUNTIFS(tbl_Exhibits[Month],1,tbl_Exhibits[Year],YEAR(TODAY()))</f>
        <v/>
      </c>
      <c r="C77" s="22">
        <f>COUNTIFS(tbl_Exhibits[Month],2,tbl_Exhibits[Year],YEAR(TODAY()))</f>
        <v/>
      </c>
      <c r="D77" s="22">
        <f>COUNTIFS(tbl_Exhibits[Month],3,tbl_Exhibits[Year],YEAR(TODAY()))</f>
        <v/>
      </c>
      <c r="E77" s="22">
        <f>COUNTIFS(tbl_Exhibits[Month],4,tbl_Exhibits[Year],YEAR(TODAY()))</f>
        <v/>
      </c>
      <c r="F77" s="22">
        <f>COUNTIFS(tbl_Exhibits[Month],5,tbl_Exhibits[Year],YEAR(TODAY()))</f>
        <v/>
      </c>
      <c r="G77" s="22">
        <f>COUNTIFS(tbl_Exhibits[Month],6,tbl_Exhibits[Year],YEAR(TODAY()))</f>
        <v/>
      </c>
      <c r="H77" s="22">
        <f>COUNTIFS(tbl_Exhibits[Month],7,tbl_Exhibits[Year],YEAR(TODAY()))</f>
        <v/>
      </c>
      <c r="I77" s="22">
        <f>COUNTIFS(tbl_Exhibits[Month],8,tbl_Exhibits[Year],YEAR(TODAY()))</f>
        <v/>
      </c>
      <c r="J77" s="22">
        <f>COUNTIFS(tbl_Exhibits[Month],9,tbl_Exhibits[Year],YEAR(TODAY()))</f>
        <v/>
      </c>
      <c r="K77" s="22">
        <f>COUNTIFS(tbl_Exhibits[Month],10,tbl_Exhibits[Year],YEAR(TODAY()))</f>
        <v/>
      </c>
      <c r="L77" s="22">
        <f>COUNTIFS(tbl_Exhibits[Month],11,tbl_Exhibits[Year],YEAR(TODAY()))</f>
        <v/>
      </c>
      <c r="M77" s="22">
        <f>COUNTIFS(tbl_Exhibits[Month],12,tbl_Exhibits[Year],YEAR(TODAY()))</f>
        <v/>
      </c>
    </row>
    <row r="78">
      <c r="A78" s="28" t="inlineStr">
        <is>
          <t>Lectures Delivered</t>
        </is>
      </c>
      <c r="B78" s="22">
        <f>COUNTIFS(tbl_DemandReduction[Month],1,tbl_DemandReduction[Year],YEAR(TODAY()))</f>
        <v/>
      </c>
      <c r="C78" s="22">
        <f>COUNTIFS(tbl_DemandReduction[Month],2,tbl_DemandReduction[Year],YEAR(TODAY()))</f>
        <v/>
      </c>
      <c r="D78" s="22">
        <f>COUNTIFS(tbl_DemandReduction[Month],3,tbl_DemandReduction[Year],YEAR(TODAY()))</f>
        <v/>
      </c>
      <c r="E78" s="22">
        <f>COUNTIFS(tbl_DemandReduction[Month],4,tbl_DemandReduction[Year],YEAR(TODAY()))</f>
        <v/>
      </c>
      <c r="F78" s="22">
        <f>COUNTIFS(tbl_DemandReduction[Month],5,tbl_DemandReduction[Year],YEAR(TODAY()))</f>
        <v/>
      </c>
      <c r="G78" s="22">
        <f>COUNTIFS(tbl_DemandReduction[Month],6,tbl_DemandReduction[Year],YEAR(TODAY()))</f>
        <v/>
      </c>
      <c r="H78" s="22">
        <f>COUNTIFS(tbl_DemandReduction[Month],7,tbl_DemandReduction[Year],YEAR(TODAY()))</f>
        <v/>
      </c>
      <c r="I78" s="22">
        <f>COUNTIFS(tbl_DemandReduction[Month],8,tbl_DemandReduction[Year],YEAR(TODAY()))</f>
        <v/>
      </c>
      <c r="J78" s="22">
        <f>COUNTIFS(tbl_DemandReduction[Month],9,tbl_DemandReduction[Year],YEAR(TODAY()))</f>
        <v/>
      </c>
      <c r="K78" s="22">
        <f>COUNTIFS(tbl_DemandReduction[Month],10,tbl_DemandReduction[Year],YEAR(TODAY()))</f>
        <v/>
      </c>
      <c r="L78" s="22">
        <f>COUNTIFS(tbl_DemandReduction[Month],11,tbl_DemandReduction[Year],YEAR(TODAY()))</f>
        <v/>
      </c>
      <c r="M78" s="22">
        <f>COUNTIFS(tbl_DemandReduction[Month],12,tbl_DemandReduction[Year],YEAR(TODAY()))</f>
        <v/>
      </c>
    </row>
    <row r="79">
      <c r="A79" s="28" t="inlineStr">
        <is>
          <t>Attendance (Demand Red)</t>
        </is>
      </c>
      <c r="B79" s="22">
        <f>SUMIFS(tbl_DemandReduction[Attendance],tbl_DemandReduction[Month],1,tbl_DemandReduction[Year],YEAR(TODAY()))</f>
        <v/>
      </c>
      <c r="C79" s="22">
        <f>SUMIFS(tbl_DemandReduction[Attendance],tbl_DemandReduction[Month],2,tbl_DemandReduction[Year],YEAR(TODAY()))</f>
        <v/>
      </c>
      <c r="D79" s="22">
        <f>SUMIFS(tbl_DemandReduction[Attendance],tbl_DemandReduction[Month],3,tbl_DemandReduction[Year],YEAR(TODAY()))</f>
        <v/>
      </c>
      <c r="E79" s="22">
        <f>SUMIFS(tbl_DemandReduction[Attendance],tbl_DemandReduction[Month],4,tbl_DemandReduction[Year],YEAR(TODAY()))</f>
        <v/>
      </c>
      <c r="F79" s="22">
        <f>SUMIFS(tbl_DemandReduction[Attendance],tbl_DemandReduction[Month],5,tbl_DemandReduction[Year],YEAR(TODAY()))</f>
        <v/>
      </c>
      <c r="G79" s="22">
        <f>SUMIFS(tbl_DemandReduction[Attendance],tbl_DemandReduction[Month],6,tbl_DemandReduction[Year],YEAR(TODAY()))</f>
        <v/>
      </c>
      <c r="H79" s="22">
        <f>SUMIFS(tbl_DemandReduction[Attendance],tbl_DemandReduction[Month],7,tbl_DemandReduction[Year],YEAR(TODAY()))</f>
        <v/>
      </c>
      <c r="I79" s="22">
        <f>SUMIFS(tbl_DemandReduction[Attendance],tbl_DemandReduction[Month],8,tbl_DemandReduction[Year],YEAR(TODAY()))</f>
        <v/>
      </c>
      <c r="J79" s="22">
        <f>SUMIFS(tbl_DemandReduction[Attendance],tbl_DemandReduction[Month],9,tbl_DemandReduction[Year],YEAR(TODAY()))</f>
        <v/>
      </c>
      <c r="K79" s="22">
        <f>SUMIFS(tbl_DemandReduction[Attendance],tbl_DemandReduction[Month],10,tbl_DemandReduction[Year],YEAR(TODAY()))</f>
        <v/>
      </c>
      <c r="L79" s="22">
        <f>SUMIFS(tbl_DemandReduction[Attendance],tbl_DemandReduction[Month],11,tbl_DemandReduction[Year],YEAR(TODAY()))</f>
        <v/>
      </c>
      <c r="M79" s="22">
        <f>SUMIFS(tbl_DemandReduction[Attendance],tbl_DemandReduction[Month],12,tbl_DemandReduction[Year],YEAR(TODAY()))</f>
        <v/>
      </c>
    </row>
    <row r="80">
      <c r="A80" s="28" t="inlineStr">
        <is>
          <t>Vehicle Trips</t>
        </is>
      </c>
      <c r="B80" s="22">
        <f>COUNTIFS(tbl_VehicleUsage[Month],1,tbl_VehicleUsage[Year],YEAR(TODAY()))</f>
        <v/>
      </c>
      <c r="C80" s="22">
        <f>COUNTIFS(tbl_VehicleUsage[Month],2,tbl_VehicleUsage[Year],YEAR(TODAY()))</f>
        <v/>
      </c>
      <c r="D80" s="22">
        <f>COUNTIFS(tbl_VehicleUsage[Month],3,tbl_VehicleUsage[Year],YEAR(TODAY()))</f>
        <v/>
      </c>
      <c r="E80" s="22">
        <f>COUNTIFS(tbl_VehicleUsage[Month],4,tbl_VehicleUsage[Year],YEAR(TODAY()))</f>
        <v/>
      </c>
      <c r="F80" s="22">
        <f>COUNTIFS(tbl_VehicleUsage[Month],5,tbl_VehicleUsage[Year],YEAR(TODAY()))</f>
        <v/>
      </c>
      <c r="G80" s="22">
        <f>COUNTIFS(tbl_VehicleUsage[Month],6,tbl_VehicleUsage[Year],YEAR(TODAY()))</f>
        <v/>
      </c>
      <c r="H80" s="22">
        <f>COUNTIFS(tbl_VehicleUsage[Month],7,tbl_VehicleUsage[Year],YEAR(TODAY()))</f>
        <v/>
      </c>
      <c r="I80" s="22">
        <f>COUNTIFS(tbl_VehicleUsage[Month],8,tbl_VehicleUsage[Year],YEAR(TODAY()))</f>
        <v/>
      </c>
      <c r="J80" s="22">
        <f>COUNTIFS(tbl_VehicleUsage[Month],9,tbl_VehicleUsage[Year],YEAR(TODAY()))</f>
        <v/>
      </c>
      <c r="K80" s="22">
        <f>COUNTIFS(tbl_VehicleUsage[Month],10,tbl_VehicleUsage[Year],YEAR(TODAY()))</f>
        <v/>
      </c>
      <c r="L80" s="22">
        <f>COUNTIFS(tbl_VehicleUsage[Month],11,tbl_VehicleUsage[Year],YEAR(TODAY()))</f>
        <v/>
      </c>
      <c r="M80" s="22">
        <f>COUNTIFS(tbl_VehicleUsage[Month],12,tbl_VehicleUsage[Year],YEAR(TODAY()))</f>
        <v/>
      </c>
    </row>
    <row r="82">
      <c r="A82" s="20" t="inlineStr">
        <is>
          <t>AGING &amp; SLA ANALYSIS</t>
        </is>
      </c>
    </row>
    <row r="83">
      <c r="A83" s="25" t="inlineStr">
        <is>
          <t>Avg Case Age (days)</t>
        </is>
      </c>
      <c r="B83" s="44">
        <f>IFERROR(AVERAGE(IF(tbl_Cases[CaseStatus]&lt;&gt;"Closed*",TODAY()-tbl_Cases[DateReceived])),"—")</f>
        <v/>
      </c>
      <c r="D83" s="25" t="inlineStr">
        <is>
          <t>Oldest Open Case (days)</t>
        </is>
      </c>
      <c r="E83" s="44">
        <f>IFERROR(MAX(IF(tbl_Cases[CaseStatus]&lt;&gt;"Closed*",TODAY()-tbl_Cases[DateReceived])),"—")</f>
        <v/>
      </c>
      <c r="G83" s="25" t="inlineStr">
        <is>
          <t>Avg Lead Age (days)</t>
        </is>
      </c>
      <c r="H83" s="44">
        <f>IFERROR(AVERAGE(IF(tbl_Leads[Outcome]="Pending",TODAY()-tbl_Leads[DateReceived])),"—")</f>
        <v/>
      </c>
      <c r="J83" s="25" t="inlineStr">
        <is>
          <t>Avg Forensic Turnaround</t>
        </is>
      </c>
      <c r="K83" s="44">
        <f>IFERROR(AVERAGE(tbl_Exhibits[TurnaroundDays]),"—")</f>
        <v/>
      </c>
    </row>
    <row r="85">
      <c r="A85" s="25" t="inlineStr">
        <is>
          <t>Overdue Actions (count)</t>
        </is>
      </c>
      <c r="B85" s="44">
        <f>COUNTIFS(tbl_Actions[DueDate],"&lt;"&amp;TODAY(),tbl_Actions[CompletedDate],"")</f>
        <v/>
      </c>
      <c r="D85" s="25" t="inlineStr">
        <is>
          <t>Overdue Forensic Returns</t>
        </is>
      </c>
      <c r="E85" s="44">
        <f>COUNTIFS(tbl_Exhibits[ExpectedReturn],"&lt;"&amp;TODAY(),tbl_Exhibits[ActualReturnDate],"")</f>
        <v/>
      </c>
      <c r="G85" s="25" t="inlineStr">
        <is>
          <t>Cases &gt; 90 days Open</t>
        </is>
      </c>
      <c r="H85" s="44">
        <f>COUNTIFS(tbl_Cases[DateReceived],"&lt;"&amp;TODAY()-90,tbl_Cases[CaseStatus],"&lt;&gt;Closed*")</f>
        <v/>
      </c>
      <c r="J85" s="25" t="inlineStr">
        <is>
          <t>Leads Pending &gt; 7 days</t>
        </is>
      </c>
      <c r="K85" s="44">
        <f>COUNTIFS(tbl_Leads[DateReceived],"&lt;"&amp;TODAY()-7,tbl_Leads[TriageDecision],"")</f>
        <v/>
      </c>
    </row>
    <row r="87">
      <c r="A87" s="20" t="inlineStr">
        <is>
          <t>COURT &amp; LEGAL STATUS</t>
        </is>
      </c>
    </row>
    <row r="88">
      <c r="A88" s="50" t="inlineStr">
        <is>
          <t>Court Dates Total</t>
        </is>
      </c>
      <c r="B88" s="50" t="inlineStr">
        <is>
          <t>Upcoming (7d)</t>
        </is>
      </c>
      <c r="C88" s="50" t="inlineStr">
        <is>
          <t>Warrants Active</t>
        </is>
      </c>
      <c r="D88" s="50" t="inlineStr">
        <is>
          <t>Warrants Expired</t>
        </is>
      </c>
      <c r="E88" s="50" t="inlineStr">
        <is>
          <t>Total Arrests</t>
        </is>
      </c>
      <c r="F88" s="50" t="inlineStr">
        <is>
          <t>Seizure Items</t>
        </is>
      </c>
    </row>
    <row r="89">
      <c r="A89" s="26">
        <f>COUNTA(tbl_CourtDates[CourtID])-COUNTBLANK(tbl_CourtDates[CourtID])</f>
        <v/>
      </c>
      <c r="B89" s="26">
        <f>COUNTIFS(tbl_CourtDates[HearingDate],"&gt;="&amp;TODAY(),tbl_CourtDates[HearingDate],"&lt;="&amp;TODAY()+7)</f>
        <v/>
      </c>
      <c r="C89" s="26">
        <f>COUNTIFS(tbl_Warrants[ValidUntil],"&gt;="&amp;TODAY(),tbl_Warrants[ExecutionDate],"")</f>
        <v/>
      </c>
      <c r="D89" s="26">
        <f>COUNTIF(tbl_Warrants[Status],"Expired")</f>
        <v/>
      </c>
      <c r="E89" s="26">
        <f>COUNTA(tbl_Arrests[ArrestID])-COUNTBLANK(tbl_Arrests[ArrestID])</f>
        <v/>
      </c>
      <c r="F89" s="26">
        <f>COUNTA(tbl_Seizures[SeizureID])-COUNTBLANK(tbl_Seizures[SeizureID])</f>
        <v/>
      </c>
    </row>
    <row r="91">
      <c r="A91" s="20" t="inlineStr">
        <is>
          <t>PERSONNEL, TRAINING &amp; INFORMANTS</t>
        </is>
      </c>
    </row>
    <row r="92">
      <c r="A92" s="59" t="inlineStr">
        <is>
          <t>Personnel</t>
        </is>
      </c>
      <c r="B92" s="59" t="inlineStr">
        <is>
          <t>Active Staff</t>
        </is>
      </c>
      <c r="C92" s="59" t="inlineStr">
        <is>
          <t>Training Sessions</t>
        </is>
      </c>
      <c r="D92" s="59" t="inlineStr">
        <is>
          <t>Training Overdue</t>
        </is>
      </c>
      <c r="E92" s="59" t="inlineStr">
        <is>
          <t>Active Informants</t>
        </is>
      </c>
      <c r="F92" s="59" t="inlineStr">
        <is>
          <t>Scenes Processed</t>
        </is>
      </c>
      <c r="G92" s="59" t="inlineStr">
        <is>
          <t>Custody Transfers</t>
        </is>
      </c>
      <c r="H92" s="59" t="inlineStr">
        <is>
          <t>Duty Entries</t>
        </is>
      </c>
    </row>
    <row r="93">
      <c r="A93" s="26">
        <f>COUNTA(tbl_Personnel[PersonnelID])-COUNTBLANK(tbl_Personnel[PersonnelID])</f>
        <v/>
      </c>
      <c r="B93" s="26">
        <f>COUNTIF(tbl_Personnel[Status],"Active")</f>
        <v/>
      </c>
      <c r="C93" s="26">
        <f>COUNTA(tbl_Training[TrainingID])-COUNTBLANK(tbl_Training[TrainingID])</f>
        <v/>
      </c>
      <c r="D93" s="26">
        <f>COUNTIFS(tbl_Personnel[NextTrainingDue],"&lt;"&amp;TODAY())</f>
        <v/>
      </c>
      <c r="E93" s="26">
        <f>COUNTIF(tbl_Informants[Status],"Active")</f>
        <v/>
      </c>
      <c r="F93" s="26">
        <f>COUNTA(tbl_SceneLog[SceneID])-COUNTBLANK(tbl_SceneLog[SceneID])</f>
        <v/>
      </c>
      <c r="G93" s="26">
        <f>COUNTA(tbl_CustodyTransfers[TransferID])-COUNTBLANK(tbl_CustodyTransfers[TransferID])</f>
        <v/>
      </c>
      <c r="H93" s="26">
        <f>COUNTA(tbl_DutyRoster[RosterID])-COUNTBLANK(tbl_DutyRoster[RosterID])</f>
        <v/>
      </c>
    </row>
  </sheetData>
  <mergeCells count="14">
    <mergeCell ref="A20:L20"/>
    <mergeCell ref="A24:L24"/>
    <mergeCell ref="A2:L2"/>
    <mergeCell ref="A16:L16"/>
    <mergeCell ref="A87:L87"/>
    <mergeCell ref="A82:L82"/>
    <mergeCell ref="A1:L1"/>
    <mergeCell ref="A28:L28"/>
    <mergeCell ref="A32:L32"/>
    <mergeCell ref="A8:L8"/>
    <mergeCell ref="A67:L67"/>
    <mergeCell ref="A91:L91"/>
    <mergeCell ref="A12:L12"/>
    <mergeCell ref="A4:L4"/>
  </mergeCells>
  <conditionalFormatting sqref="G34:G65">
    <cfRule type="expression" priority="1" dxfId="2">
      <formula>=G34="On Track"</formula>
    </cfRule>
    <cfRule type="expression" priority="2" dxfId="1">
      <formula>=G34="At Risk"</formula>
    </cfRule>
    <cfRule type="expression" priority="3" dxfId="0">
      <formula>=G34="Off Track"</formula>
    </cfRule>
  </conditionalFormatting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002060"/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FNID AREA 3 — CENTRAL STATISTICS HUB</t>
        </is>
      </c>
    </row>
    <row r="2" ht="28" customHeight="1">
      <c r="A2" s="31" t="inlineStr">
        <is>
          <t>Aggregated Statistics Across All Modules &amp; Units</t>
        </is>
      </c>
    </row>
    <row r="4">
      <c r="A4" s="43" t="inlineStr">
        <is>
          <t>CASES &amp; REGISTRY</t>
        </is>
      </c>
    </row>
    <row r="5">
      <c r="A5" s="25" t="inlineStr">
        <is>
          <t>Total Cases Registered</t>
        </is>
      </c>
      <c r="B5" s="44">
        <f>COUNTA(tbl_Cases[CaseID])-COUNTBLANK(tbl_Cases[CaseID])</f>
        <v/>
      </c>
      <c r="C5" s="25" t="inlineStr">
        <is>
          <t>Open / Active</t>
        </is>
      </c>
      <c r="D5" s="44">
        <f>COUNTIF(tbl_Cases[CaseStatus],"Open")+COUNTIF(tbl_Cases[CaseStatus],"Active")</f>
        <v/>
      </c>
      <c r="E5" s="25" t="inlineStr">
        <is>
          <t>Under Investigation</t>
        </is>
      </c>
      <c r="F5" s="44">
        <f>COUNTIF(tbl_Cases[CaseStatus],"Under Investigation")</f>
        <v/>
      </c>
      <c r="G5" s="25" t="inlineStr">
        <is>
          <t>Pending Review</t>
        </is>
      </c>
      <c r="H5" s="44">
        <f>COUNTIF(tbl_Cases[CaseStatus],"Pending Review")</f>
        <v/>
      </c>
      <c r="I5" s="25" t="inlineStr">
        <is>
          <t>Pending Court</t>
        </is>
      </c>
      <c r="J5" s="44">
        <f>COUNTIF(tbl_Cases[CaseStatus],"Pending Court")</f>
        <v/>
      </c>
      <c r="K5" s="25" t="inlineStr">
        <is>
          <t>Closed (All)</t>
        </is>
      </c>
      <c r="L5" s="44">
        <f>COUNTIFS(tbl_Cases[CaseStatus],"Closed*")</f>
        <v/>
      </c>
    </row>
    <row r="6">
      <c r="A6" s="25" t="inlineStr">
        <is>
          <t>Cold Cases</t>
        </is>
      </c>
      <c r="B6" s="44">
        <f>COUNTIF(tbl_Cases[CaseStatus],"Cold Case")</f>
        <v/>
      </c>
      <c r="C6" s="25" t="inlineStr">
        <is>
          <t>CR1 Compliant %</t>
        </is>
      </c>
      <c r="D6" s="44">
        <f>IFERROR(COUNTIF(tbl_Cases[CR1_Compliant],"Yes")/COUNTA(tbl_Cases[CR1_Compliant]),"—")</f>
        <v/>
      </c>
      <c r="E6" s="25" t="inlineStr">
        <is>
          <t>CR2 Compliant %</t>
        </is>
      </c>
      <c r="F6" s="44">
        <f>IFERROR(COUNTIF(tbl_Cases[CR2_Compliant],"Yes")/COUNTA(tbl_Cases[CR2_Compliant]),"—")</f>
        <v/>
      </c>
      <c r="G6" s="25" t="inlineStr">
        <is>
          <t>CR5 Compliant %</t>
        </is>
      </c>
      <c r="H6" s="44">
        <f>IFERROR(COUNTIF(tbl_Cases[CR5_Compliant],"Yes")/COUNTA(tbl_Cases[CR5_Compliant]),"—")</f>
        <v/>
      </c>
      <c r="I6" s="25" t="inlineStr">
        <is>
          <t>Firearms Cases</t>
        </is>
      </c>
      <c r="J6" s="44">
        <f>COUNTIFS(tbl_Cases[OffenceType],"*Firearm*")+COUNTIFS(tbl_Cases[OffenceType],"*Ammunition*")</f>
        <v/>
      </c>
      <c r="K6" s="25" t="inlineStr">
        <is>
          <t>Narcotics Cases</t>
        </is>
      </c>
      <c r="L6" s="44">
        <f>COUNTIFS(tbl_Cases[OffenceType],"*Narcotic*")+COUNTIFS(tbl_Cases[OffenceType],"*Cannabis*")+COUNTIFS(tbl_Cases[OffenceType],"*Cocaine*")</f>
        <v/>
      </c>
    </row>
    <row r="9">
      <c r="A9" s="45" t="inlineStr">
        <is>
          <t>INTELLIGENCE</t>
        </is>
      </c>
    </row>
    <row r="10">
      <c r="A10" s="25" t="inlineStr">
        <is>
          <t>Total Leads</t>
        </is>
      </c>
      <c r="B10" s="44">
        <f>COUNTA(tbl_Leads[LeadID])-COUNTBLANK(tbl_Leads[LeadID])</f>
        <v/>
      </c>
      <c r="C10" s="25" t="inlineStr">
        <is>
          <t>MCR-Sourced Leads</t>
        </is>
      </c>
      <c r="D10" s="44">
        <f>COUNTIF(tbl_Leads[Source],"MCR")</f>
        <v/>
      </c>
      <c r="E10" s="25" t="inlineStr">
        <is>
          <t>Operations-Sourced</t>
        </is>
      </c>
      <c r="F10" s="44">
        <f>COUNTIF(tbl_Leads[Source],"Operations")</f>
        <v/>
      </c>
      <c r="G10" s="25" t="inlineStr">
        <is>
          <t>Tip-off Sourced</t>
        </is>
      </c>
      <c r="H10" s="44">
        <f>COUNTIF(tbl_Leads[Source],"Tip-off")</f>
        <v/>
      </c>
      <c r="I10" s="25" t="inlineStr">
        <is>
          <t>Leads Triaged</t>
        </is>
      </c>
      <c r="J10" s="44">
        <f>COUNTA(tbl_Leads[TriageDecision])-COUNTBLANK(tbl_Leads[TriageDecision])</f>
        <v/>
      </c>
      <c r="K10" s="25" t="inlineStr">
        <is>
          <t>Pending Triage</t>
        </is>
      </c>
      <c r="L10" s="44">
        <f>COUNTBLANK(tbl_Leads[TriageDecision])</f>
        <v/>
      </c>
    </row>
    <row r="11">
      <c r="A11" s="25" t="inlineStr">
        <is>
          <t>Converted to Case</t>
        </is>
      </c>
      <c r="B11" s="44">
        <f>COUNTIF(tbl_Leads[Outcome],"Converted to Case")</f>
        <v/>
      </c>
      <c r="C11" s="25" t="inlineStr">
        <is>
          <t>Converted to Op</t>
        </is>
      </c>
      <c r="D11" s="44">
        <f>COUNTIF(tbl_Leads[Outcome],"Converted to Op")</f>
        <v/>
      </c>
      <c r="E11" s="25" t="inlineStr">
        <is>
          <t>Conversion Rate</t>
        </is>
      </c>
      <c r="F11" s="44">
        <f>IFERROR((COUNTIF(tbl_Leads[Outcome],"Converted to Case")+COUNTIF(tbl_Leads[Outcome],"Converted to Op"))/(COUNTA(tbl_Leads[LeadID])-COUNTBLANK(tbl_Leads[LeadID])),"—")</f>
        <v/>
      </c>
      <c r="G11" s="25" t="inlineStr">
        <is>
          <t>Briefings Delivered</t>
        </is>
      </c>
      <c r="H11" s="44">
        <f>COUNTA(tbl_IntelBriefings[BriefingID])-COUNTBLANK(tbl_IntelBriefings[BriefingID])</f>
        <v/>
      </c>
      <c r="I11" s="25" t="inlineStr">
        <is>
          <t>FCSI-Flagged Leads</t>
        </is>
      </c>
      <c r="J11" s="44">
        <f>COUNTIF(tbl_Leads[FCSI_Flag],"Yes")</f>
        <v/>
      </c>
      <c r="K11" s="25" t="inlineStr">
        <is>
          <t>Follow-Ups Overdue</t>
        </is>
      </c>
      <c r="L11" s="44">
        <f>COUNTIFS(tbl_Leads[FollowUpDueDate],"&lt;"&amp;TODAY(),tbl_Leads[FollowUpRequired],"Yes")</f>
        <v/>
      </c>
    </row>
    <row r="14">
      <c r="A14" s="8" t="inlineStr">
        <is>
          <t>OPERATIONS</t>
        </is>
      </c>
    </row>
    <row r="15">
      <c r="A15" s="25" t="inlineStr">
        <is>
          <t>Total Operations</t>
        </is>
      </c>
      <c r="B15" s="44">
        <f>COUNTA(tbl_Operations[OPS_ID])-COUNTBLANK(tbl_Operations[OPS_ID])</f>
        <v/>
      </c>
      <c r="C15" s="25" t="inlineStr">
        <is>
          <t>Search Warrants</t>
        </is>
      </c>
      <c r="D15" s="44">
        <f>COUNTIF(tbl_Operations[OpsType],"Search Warrant")</f>
        <v/>
      </c>
      <c r="E15" s="25" t="inlineStr">
        <is>
          <t>Patrols</t>
        </is>
      </c>
      <c r="F15" s="44">
        <f>COUNTIF(tbl_Operations[OpsType],"Patrol")</f>
        <v/>
      </c>
      <c r="G15" s="25" t="inlineStr">
        <is>
          <t>Checkpoints</t>
        </is>
      </c>
      <c r="H15" s="44">
        <f>COUNTIF(tbl_Operations[OpsType],"Checkpoint")</f>
        <v/>
      </c>
      <c r="I15" s="25" t="inlineStr">
        <is>
          <t>Raids</t>
        </is>
      </c>
      <c r="J15" s="44">
        <f>COUNTIF(tbl_Operations[OpsType],"Raid")</f>
        <v/>
      </c>
      <c r="K15" s="25" t="inlineStr">
        <is>
          <t>Surveillance</t>
        </is>
      </c>
      <c r="L15" s="44">
        <f>COUNTIF(tbl_Operations[OpsType],"Surveillance")</f>
        <v/>
      </c>
    </row>
    <row r="16">
      <c r="A16" s="25" t="inlineStr">
        <is>
          <t>FCSI Operations</t>
        </is>
      </c>
      <c r="B16" s="44">
        <f>COUNTIF(tbl_Operations[FCSI_Flag],"Yes")</f>
        <v/>
      </c>
      <c r="C16" s="25" t="inlineStr">
        <is>
          <t>Total Arrests</t>
        </is>
      </c>
      <c r="D16" s="44">
        <f>SUM(tbl_Operations[Arrests])</f>
        <v/>
      </c>
      <c r="E16" s="25" t="inlineStr">
        <is>
          <t>Firearms Seized</t>
        </is>
      </c>
      <c r="F16" s="44">
        <f>SUM(tbl_Operations[FirearmsSeized])</f>
        <v/>
      </c>
      <c r="G16" s="25" t="inlineStr">
        <is>
          <t>Ammunition Seized</t>
        </is>
      </c>
      <c r="H16" s="44">
        <f>SUM(tbl_Operations[AmmunitionSeized])</f>
        <v/>
      </c>
      <c r="I16" s="25" t="inlineStr">
        <is>
          <t>Narcotics Seized (kg)</t>
        </is>
      </c>
      <c r="J16" s="44">
        <f>SUM(tbl_Operations[NarcoticsSeized_kg])</f>
        <v/>
      </c>
      <c r="K16" s="25" t="inlineStr">
        <is>
          <t>Cash Seized</t>
        </is>
      </c>
      <c r="L16" s="44">
        <f>SUM(tbl_Operations[CashSeized])</f>
        <v/>
      </c>
    </row>
    <row r="19">
      <c r="A19" s="9" t="inlineStr">
        <is>
          <t>EVIDENCE &amp; FORENSICS</t>
        </is>
      </c>
    </row>
    <row r="20">
      <c r="A20" s="25" t="inlineStr">
        <is>
          <t>Total Exhibits</t>
        </is>
      </c>
      <c r="B20" s="44">
        <f>COUNTA(tbl_Exhibits[ExhibitID])-COUNTBLANK(tbl_Exhibits[ExhibitID])</f>
        <v/>
      </c>
      <c r="C20" s="25" t="inlineStr">
        <is>
          <t>Pending Analysis</t>
        </is>
      </c>
      <c r="D20" s="44">
        <f>COUNTIF(tbl_Exhibits[AnalysisStatus],"Pending")</f>
        <v/>
      </c>
      <c r="E20" s="25" t="inlineStr">
        <is>
          <t>Submitted to Lab</t>
        </is>
      </c>
      <c r="F20" s="44">
        <f>COUNTIF(tbl_Exhibits[AnalysisStatus],"Submitted")</f>
        <v/>
      </c>
      <c r="G20" s="25" t="inlineStr">
        <is>
          <t>Analysis In Progress</t>
        </is>
      </c>
      <c r="H20" s="44">
        <f>COUNTIF(tbl_Exhibits[AnalysisStatus],"In Progress")</f>
        <v/>
      </c>
      <c r="I20" s="25" t="inlineStr">
        <is>
          <t>Analysis Completed</t>
        </is>
      </c>
      <c r="J20" s="44">
        <f>COUNTIF(tbl_Exhibits[AnalysisStatus],"Completed")</f>
        <v/>
      </c>
      <c r="K20" s="25" t="inlineStr">
        <is>
          <t>Court Ready</t>
        </is>
      </c>
      <c r="L20" s="44">
        <f>COUNTIF(tbl_Exhibits[CourtReadiness],"Ready")</f>
        <v/>
      </c>
    </row>
    <row r="21">
      <c r="A21" s="25" t="inlineStr">
        <is>
          <t>Not Court Ready</t>
        </is>
      </c>
      <c r="B21" s="44">
        <f>COUNTIF(tbl_Exhibits[CourtReadiness],"Not Ready")</f>
        <v/>
      </c>
      <c r="C21" s="25" t="inlineStr">
        <is>
          <t>Avg Turnaround (days)</t>
        </is>
      </c>
      <c r="D21" s="44">
        <f>IFERROR(AVERAGE(tbl_Exhibits[TurnaroundDays]),"—")</f>
        <v/>
      </c>
      <c r="E21" s="25" t="inlineStr">
        <is>
          <t>Overdue Returns</t>
        </is>
      </c>
      <c r="F21" s="44">
        <f>COUNTIFS(tbl_Exhibits[ExpectedReturn],"&lt;"&amp;TODAY(),tbl_Exhibits[ActualReturnDate],"")</f>
        <v/>
      </c>
      <c r="G21" s="25" t="inlineStr">
        <is>
          <t>Firearms Exhibits</t>
        </is>
      </c>
      <c r="H21" s="44">
        <f>COUNTIF(tbl_Exhibits[EvidenceType],"Firearm")</f>
        <v/>
      </c>
      <c r="I21" s="25" t="inlineStr">
        <is>
          <t>Narcotics Exhibits</t>
        </is>
      </c>
      <c r="J21" s="44">
        <f>COUNTIFS(tbl_Exhibits[EvidenceType],"Narcotics*")</f>
        <v/>
      </c>
      <c r="K21" s="25" t="inlineStr">
        <is>
          <t>Electronic Devices</t>
        </is>
      </c>
      <c r="L21" s="44">
        <f>COUNTIF(tbl_Exhibits[EvidenceType],"Electronic Device")</f>
        <v/>
      </c>
    </row>
    <row r="24">
      <c r="A24" s="46" t="inlineStr">
        <is>
          <t>TRANSPORT &amp; FLEET</t>
        </is>
      </c>
    </row>
    <row r="25">
      <c r="A25" s="25" t="inlineStr">
        <is>
          <t>Total Vehicles</t>
        </is>
      </c>
      <c r="B25" s="44">
        <f>COUNTA(tbl_Vehicles[VehicleID])-COUNTBLANK(tbl_Vehicles[VehicleID])</f>
        <v/>
      </c>
      <c r="C25" s="25" t="inlineStr">
        <is>
          <t>Available</t>
        </is>
      </c>
      <c r="D25" s="44">
        <f>COUNTIF(tbl_Vehicles[CurrentStatus],"Available")</f>
        <v/>
      </c>
      <c r="E25" s="25" t="inlineStr">
        <is>
          <t>In Use</t>
        </is>
      </c>
      <c r="F25" s="44">
        <f>COUNTIF(tbl_Vehicles[CurrentStatus],"In Use")</f>
        <v/>
      </c>
      <c r="G25" s="25" t="inlineStr">
        <is>
          <t>Under Maintenance</t>
        </is>
      </c>
      <c r="H25" s="44">
        <f>COUNTIF(tbl_Vehicles[CurrentStatus],"Under Maintenance")</f>
        <v/>
      </c>
      <c r="I25" s="25" t="inlineStr">
        <is>
          <t>Out of Service</t>
        </is>
      </c>
      <c r="J25" s="44">
        <f>COUNTIF(tbl_Vehicles[CurrentStatus],"Out of Service")</f>
        <v/>
      </c>
      <c r="K25" s="25" t="inlineStr">
        <is>
          <t>Availability Rate %</t>
        </is>
      </c>
      <c r="L25" s="44">
        <f>IFERROR(COUNTIF(tbl_Vehicles[CurrentStatus],"Available")/(COUNTA(tbl_Vehicles[VehicleID])-COUNTBLANK(tbl_Vehicles[VehicleID])),"—")</f>
        <v/>
      </c>
    </row>
    <row r="26">
      <c r="A26" s="25" t="inlineStr">
        <is>
          <t>Service Overdue</t>
        </is>
      </c>
      <c r="B26" s="44">
        <f>COUNTIFS(tbl_Vehicles[NextServiceDue],"&lt;"&amp;TODAY())</f>
        <v/>
      </c>
      <c r="C26" s="25" t="inlineStr">
        <is>
          <t>Total Fuel Used (L)</t>
        </is>
      </c>
      <c r="D26" s="44">
        <f>SUM(tbl_FuelLog[Litres])</f>
        <v/>
      </c>
      <c r="E26" s="25" t="inlineStr">
        <is>
          <t>Total Fuel Cost</t>
        </is>
      </c>
      <c r="F26" s="44">
        <f>SUM(tbl_FuelLog[Cost])</f>
        <v/>
      </c>
      <c r="G26" s="25" t="inlineStr">
        <is>
          <t>Total Trips</t>
        </is>
      </c>
      <c r="H26" s="44">
        <f>COUNTA(tbl_VehicleUsage[UsageID])-COUNTBLANK(tbl_VehicleUsage[UsageID])</f>
        <v/>
      </c>
      <c r="I26" s="25" t="inlineStr">
        <is>
          <t>Total Distance (km)</t>
        </is>
      </c>
      <c r="J26" s="44">
        <f>SUM(tbl_VehicleUsage[DistanceKm])</f>
        <v/>
      </c>
      <c r="K26" s="25" t="inlineStr">
        <is>
          <t>Active Drivers</t>
        </is>
      </c>
      <c r="L26" s="44">
        <f>COUNTIF(tbl_Drivers[Status],"Active")</f>
        <v/>
      </c>
    </row>
    <row r="29">
      <c r="A29" s="47" t="inlineStr">
        <is>
          <t>DEMAND REDUCTION</t>
        </is>
      </c>
    </row>
    <row r="30">
      <c r="A30" s="25" t="inlineStr">
        <is>
          <t>Lectures Delivered</t>
        </is>
      </c>
      <c r="B30" s="44">
        <f>COUNTA(tbl_DemandReduction[LectureID])-COUNTBLANK(tbl_DemandReduction[LectureID])</f>
        <v/>
      </c>
      <c r="C30" s="25" t="inlineStr">
        <is>
          <t>Total Attendance</t>
        </is>
      </c>
      <c r="D30" s="44">
        <f>SUM(tbl_DemandReduction[Attendance])</f>
        <v/>
      </c>
      <c r="E30" s="25" t="inlineStr">
        <is>
          <t>Avg Attendance/Session</t>
        </is>
      </c>
      <c r="F30" s="44">
        <f>IFERROR(AVERAGE(tbl_DemandReduction[Attendance]),"—")</f>
        <v/>
      </c>
      <c r="G30" s="25" t="inlineStr">
        <is>
          <t>Total Duration (hrs)</t>
        </is>
      </c>
      <c r="H30" s="44">
        <f>SUM(tbl_DemandReduction[Duration_Hrs])</f>
        <v/>
      </c>
      <c r="I30" s="25" t="inlineStr">
        <is>
          <t>Sessions w/ Follow-Up</t>
        </is>
      </c>
      <c r="J30" s="44">
        <f>COUNTIF(tbl_DemandReduction[FollowUpPlanned],"Yes")</f>
        <v/>
      </c>
      <c r="K30" s="25" t="inlineStr">
        <is>
          <t>Unique Parishes</t>
        </is>
      </c>
      <c r="L30" s="44">
        <f>IFERROR(SUMPRODUCT(1/COUNTIF(tbl_DemandReduction[Parish],tbl_DemandReduction[Parish])),"—")</f>
        <v/>
      </c>
    </row>
    <row r="32">
      <c r="A32" s="43" t="inlineStr">
        <is>
          <t>COURT &amp; LEGAL</t>
        </is>
      </c>
    </row>
    <row r="33">
      <c r="A33" s="25" t="inlineStr">
        <is>
          <t>Total Court Dates</t>
        </is>
      </c>
      <c r="B33" s="44">
        <f>COUNTA(tbl_CourtDates[CourtID])-COUNTBLANK(tbl_CourtDates[CourtID])</f>
        <v/>
      </c>
      <c r="C33" s="25" t="inlineStr">
        <is>
          <t>Upcoming (7 days)</t>
        </is>
      </c>
      <c r="D33" s="44">
        <f>COUNTIFS(tbl_CourtDates[HearingDate],"&gt;="&amp;TODAY(),tbl_CourtDates[HearingDate],"&lt;="&amp;TODAY()+7)</f>
        <v/>
      </c>
      <c r="E33" s="25" t="inlineStr">
        <is>
          <t>Adjournments</t>
        </is>
      </c>
      <c r="F33" s="44">
        <f>COUNTIFS(tbl_CourtDates[AdjournmentReason],"&lt;&gt;")</f>
        <v/>
      </c>
      <c r="G33" s="25" t="inlineStr">
        <is>
          <t>Convictions</t>
        </is>
      </c>
      <c r="H33" s="44">
        <f>COUNTIF(tbl_CourtDates[Verdict],"Guilty")</f>
        <v/>
      </c>
      <c r="I33" s="25" t="inlineStr">
        <is>
          <t>Acquittals</t>
        </is>
      </c>
      <c r="J33" s="44">
        <f>COUNTIF(tbl_CourtDates[Verdict],"Not Guilty")</f>
        <v/>
      </c>
      <c r="K33" s="25" t="inlineStr">
        <is>
          <t>Bail Granted</t>
        </is>
      </c>
      <c r="L33" s="44">
        <f>COUNTIF(tbl_CourtDates[BailStatus],"Granted")</f>
        <v/>
      </c>
    </row>
    <row r="36">
      <c r="A36" s="8" t="inlineStr">
        <is>
          <t>ARRESTS</t>
        </is>
      </c>
    </row>
    <row r="37">
      <c r="A37" s="25" t="inlineStr">
        <is>
          <t>Total Arrests</t>
        </is>
      </c>
      <c r="B37" s="44">
        <f>COUNTA(tbl_Arrests[ArrestID])-COUNTBLANK(tbl_Arrests[ArrestID])</f>
        <v/>
      </c>
      <c r="C37" s="25" t="inlineStr">
        <is>
          <t>Arrests This Month</t>
        </is>
      </c>
      <c r="D37" s="44">
        <f>COUNTIFS(tbl_Arrests[Month],MONTH(TODAY()),tbl_Arrests[Year],YEAR(TODAY()))</f>
        <v/>
      </c>
      <c r="E37" s="25" t="inlineStr">
        <is>
          <t>Bail Granted</t>
        </is>
      </c>
      <c r="F37" s="44">
        <f>COUNTIF(tbl_Arrests[BailGranted],"Yes")</f>
        <v/>
      </c>
      <c r="G37" s="25" t="inlineStr">
        <is>
          <t>Remanded</t>
        </is>
      </c>
      <c r="H37" s="44">
        <f>COUNTIFS(tbl_Arrests[RemandFacility],"&lt;&gt;")</f>
        <v/>
      </c>
      <c r="I37" s="25" t="inlineStr">
        <is>
          <t>Cautions Given</t>
        </is>
      </c>
      <c r="J37" s="44">
        <f>COUNTIF(tbl_Arrests[CautionGiven],"Yes")</f>
        <v/>
      </c>
      <c r="K37" s="25" t="inlineStr">
        <is>
          <t>Rights Read</t>
        </is>
      </c>
      <c r="L37" s="44">
        <f>COUNTIF(tbl_Arrests[RightsRead],"Yes")</f>
        <v/>
      </c>
    </row>
    <row r="40">
      <c r="A40" s="8" t="inlineStr">
        <is>
          <t>SEIZURES (DETAILED)</t>
        </is>
      </c>
    </row>
    <row r="41">
      <c r="A41" s="25" t="inlineStr">
        <is>
          <t>Total Seized Items</t>
        </is>
      </c>
      <c r="B41" s="44">
        <f>COUNTA(tbl_Seizures[SeizureID])-COUNTBLANK(tbl_Seizures[SeizureID])</f>
        <v/>
      </c>
      <c r="C41" s="25" t="inlineStr">
        <is>
          <t>Firearms Seized</t>
        </is>
      </c>
      <c r="D41" s="44">
        <f>COUNTIF(tbl_Seizures[ItemType],"Firearm")</f>
        <v/>
      </c>
      <c r="E41" s="25" t="inlineStr">
        <is>
          <t>Ammunition Seized</t>
        </is>
      </c>
      <c r="F41" s="44">
        <f>COUNTIF(tbl_Seizures[ItemType],"Ammunition")</f>
        <v/>
      </c>
      <c r="G41" s="25" t="inlineStr">
        <is>
          <t>Narcotics Items</t>
        </is>
      </c>
      <c r="H41" s="44">
        <f>COUNTIFS(tbl_Seizures[ItemType],"Narcotics*")</f>
        <v/>
      </c>
      <c r="I41" s="25" t="inlineStr">
        <is>
          <t>Cash/Currency Items</t>
        </is>
      </c>
      <c r="J41" s="44">
        <f>COUNTIF(tbl_Seizures[ItemType],"Cash/Currency")</f>
        <v/>
      </c>
      <c r="K41" s="25" t="inlineStr">
        <is>
          <t>Linked to Exhibits</t>
        </is>
      </c>
      <c r="L41" s="44">
        <f>COUNTIFS(tbl_Seizures[LinkedExhibitID],"&lt;&gt;")</f>
        <v/>
      </c>
    </row>
    <row r="44">
      <c r="A44" s="8" t="inlineStr">
        <is>
          <t>WARRANTS</t>
        </is>
      </c>
    </row>
    <row r="45">
      <c r="A45" s="25" t="inlineStr">
        <is>
          <t>Total Warrants</t>
        </is>
      </c>
      <c r="B45" s="44">
        <f>COUNTA(tbl_Warrants[WarrantID])-COUNTBLANK(tbl_Warrants[WarrantID])</f>
        <v/>
      </c>
      <c r="C45" s="25" t="inlineStr">
        <is>
          <t>Issued</t>
        </is>
      </c>
      <c r="D45" s="44">
        <f>COUNTIF(tbl_Warrants[Status],"Issued")</f>
        <v/>
      </c>
      <c r="E45" s="25" t="inlineStr">
        <is>
          <t>Executed</t>
        </is>
      </c>
      <c r="F45" s="44">
        <f>COUNTIF(tbl_Warrants[Status],"Executed")</f>
        <v/>
      </c>
      <c r="G45" s="25" t="inlineStr">
        <is>
          <t>Expired (Unexecuted)</t>
        </is>
      </c>
      <c r="H45" s="44">
        <f>COUNTIF(tbl_Warrants[Status],"Expired")</f>
        <v/>
      </c>
      <c r="I45" s="25" t="inlineStr">
        <is>
          <t>Returned to JP</t>
        </is>
      </c>
      <c r="J45" s="44">
        <f>COUNTIFS(tbl_Warrants[ReturnToJP_Date],"&lt;&gt;")</f>
        <v/>
      </c>
      <c r="K45" s="25" t="inlineStr">
        <is>
          <t>Active (Not Expired)</t>
        </is>
      </c>
      <c r="L45" s="44">
        <f>COUNTIFS(tbl_Warrants[ValidUntil],"&gt;="&amp;TODAY(),tbl_Warrants[ExecutionDate],"")</f>
        <v/>
      </c>
    </row>
    <row r="48">
      <c r="A48" s="60" t="inlineStr">
        <is>
          <t>PERSONNEL &amp; ROSTER</t>
        </is>
      </c>
    </row>
    <row r="49">
      <c r="A49" s="25" t="inlineStr">
        <is>
          <t>Total Personnel</t>
        </is>
      </c>
      <c r="B49" s="44">
        <f>COUNTA(tbl_Personnel[PersonnelID])-COUNTBLANK(tbl_Personnel[PersonnelID])</f>
        <v/>
      </c>
      <c r="C49" s="25" t="inlineStr">
        <is>
          <t>Active</t>
        </is>
      </c>
      <c r="D49" s="44">
        <f>COUNTIF(tbl_Personnel[Status],"Active")</f>
        <v/>
      </c>
      <c r="E49" s="25" t="inlineStr">
        <is>
          <t>On Leave</t>
        </is>
      </c>
      <c r="F49" s="44">
        <f>COUNTIF(tbl_Personnel[Status],"On Leave")</f>
        <v/>
      </c>
      <c r="G49" s="25" t="inlineStr">
        <is>
          <t>Training Overdue</t>
        </is>
      </c>
      <c r="H49" s="44">
        <f>COUNTIFS(tbl_Personnel[NextTrainingDue],"&lt;"&amp;TODAY())</f>
        <v/>
      </c>
      <c r="I49" s="25" t="inlineStr">
        <is>
          <t>Duty Entries</t>
        </is>
      </c>
      <c r="J49" s="44">
        <f>COUNTA(tbl_DutyRoster[RosterID])-COUNTBLANK(tbl_DutyRoster[RosterID])</f>
        <v/>
      </c>
      <c r="K49" s="25" t="inlineStr">
        <is>
          <t>Training Sessions</t>
        </is>
      </c>
      <c r="L49" s="44">
        <f>COUNTA(tbl_Training[TrainingID])-COUNTBLANK(tbl_Training[TrainingID])</f>
        <v/>
      </c>
    </row>
    <row r="52">
      <c r="A52" s="45" t="inlineStr">
        <is>
          <t>INFORMANTS</t>
        </is>
      </c>
    </row>
    <row r="53">
      <c r="A53" s="25" t="inlineStr">
        <is>
          <t>Registered Informants</t>
        </is>
      </c>
      <c r="B53" s="44">
        <f>COUNTA(tbl_Informants[InformantID])-COUNTBLANK(tbl_Informants[InformantID])</f>
        <v/>
      </c>
      <c r="C53" s="25" t="inlineStr">
        <is>
          <t>Active</t>
        </is>
      </c>
      <c r="D53" s="44">
        <f>COUNTIF(tbl_Informants[Status],"Active")</f>
        <v/>
      </c>
      <c r="E53" s="25" t="inlineStr">
        <is>
          <t>Total Tips Provided</t>
        </is>
      </c>
      <c r="F53" s="44">
        <f>SUM(tbl_Informants[TotalTipsProvided])</f>
        <v/>
      </c>
      <c r="G53" s="25" t="inlineStr">
        <is>
          <t>Tips→Cases</t>
        </is>
      </c>
      <c r="H53" s="44">
        <f>SUM(tbl_Informants[TipsConvertedToCase])</f>
        <v/>
      </c>
      <c r="I53" s="25" t="inlineStr">
        <is>
          <t>Tips→Ops</t>
        </is>
      </c>
      <c r="J53" s="44">
        <f>SUM(tbl_Informants[TipsConvertedToOp])</f>
        <v/>
      </c>
      <c r="K53" s="25" t="inlineStr">
        <is>
          <t>Contact Overdue</t>
        </is>
      </c>
      <c r="L53" s="44">
        <f>COUNTIFS(tbl_Informants[NextContactDue],"&lt;"&amp;TODAY())</f>
        <v/>
      </c>
    </row>
    <row r="56">
      <c r="A56" s="9" t="inlineStr">
        <is>
          <t>SCENE PROCESSING &amp; CUSTODY</t>
        </is>
      </c>
    </row>
    <row r="57">
      <c r="A57" s="25" t="inlineStr">
        <is>
          <t>Scenes Processed</t>
        </is>
      </c>
      <c r="B57" s="44">
        <f>COUNTA(tbl_SceneLog[SceneID])-COUNTBLANK(tbl_SceneLog[SceneID])</f>
        <v/>
      </c>
      <c r="C57" s="25" t="inlineStr">
        <is>
          <t>GSR Collected</t>
        </is>
      </c>
      <c r="D57" s="44">
        <f>COUNTIF(tbl_SceneLog[GSR_Collected],"Yes")</f>
        <v/>
      </c>
      <c r="E57" s="25" t="inlineStr">
        <is>
          <t>Shell Casings Found</t>
        </is>
      </c>
      <c r="F57" s="44">
        <f>SUM(tbl_SceneLog[ShellCasingCount])</f>
        <v/>
      </c>
      <c r="G57" s="25" t="inlineStr">
        <is>
          <t>Fingerprints Lifted</t>
        </is>
      </c>
      <c r="H57" s="44">
        <f>COUNTIF(tbl_SceneLog[FingerprintsLifted],"Yes")</f>
        <v/>
      </c>
      <c r="I57" s="25" t="inlineStr">
        <is>
          <t>Custody Transfers</t>
        </is>
      </c>
      <c r="J57" s="44">
        <f>COUNTA(tbl_CustodyTransfers[TransferID])-COUNTBLANK(tbl_CustodyTransfers[TransferID])</f>
        <v/>
      </c>
      <c r="K57" s="25" t="inlineStr">
        <is>
          <t>Weapons Found at Scene</t>
        </is>
      </c>
      <c r="L57" s="44">
        <f>COUNTIF(tbl_SceneLog[WeaponsFound],"Yes")</f>
        <v/>
      </c>
    </row>
    <row r="59">
      <c r="A59" s="43" t="inlineStr">
        <is>
          <t>SOP COMPLIANCE — REGISTRY</t>
        </is>
      </c>
    </row>
    <row r="60">
      <c r="A60" s="25" t="inlineStr">
        <is>
          <t>Registration SLA Avg (hrs)</t>
        </is>
      </c>
      <c r="B60" s="44">
        <f>IFERROR(AVERAGE(tbl_Cases[RegistrationSLA_Hrs]),"—")</f>
        <v/>
      </c>
      <c r="C60" s="25" t="inlineStr">
        <is>
          <t>Registered &gt; 24hrs</t>
        </is>
      </c>
      <c r="D60" s="44">
        <f>COUNTIFS(tbl_Cases[RegistrationSLA_Hrs],"&gt;"&amp;24)</f>
        <v/>
      </c>
      <c r="E60" s="25" t="inlineStr">
        <is>
          <t>Files Complete (&gt;95%)</t>
        </is>
      </c>
      <c r="F60" s="44">
        <f>COUNTIFS(tbl_Cases[FileCompletenessScore],"&gt;="&amp;0.95)</f>
        <v/>
      </c>
      <c r="G60" s="25" t="inlineStr">
        <is>
          <t>Files Critically Incomplete</t>
        </is>
      </c>
      <c r="H60" s="44">
        <f>COUNTIFS(tbl_Cases[FileCompletenessScore],"&lt;"&amp;0.5)</f>
        <v/>
      </c>
      <c r="I60" s="25" t="inlineStr">
        <is>
          <t>Avg Completeness Score</t>
        </is>
      </c>
      <c r="J60" s="44">
        <f>IFERROR(AVERAGE(tbl_Cases[FileCompletenessScore]),"—")</f>
        <v/>
      </c>
      <c r="K60" s="25" t="inlineStr">
        <is>
          <t>Pending Disposal</t>
        </is>
      </c>
      <c r="L60" s="44">
        <f>COUNTIFS(tbl_Cases[CaseStatus],"Closed*",tbl_Cases[DisposalType],"")</f>
        <v/>
      </c>
    </row>
    <row r="63">
      <c r="A63" s="43" t="inlineStr">
        <is>
          <t>SOP COMPLIANCE — INVESTIGATIONS</t>
        </is>
      </c>
    </row>
    <row r="64">
      <c r="A64" s="25" t="inlineStr">
        <is>
          <t>Witnesses Registered</t>
        </is>
      </c>
      <c r="B64" s="44">
        <f>COUNTA(tbl_Witnesses[WitnessID])-COUNTBLANK(tbl_Witnesses[WitnessID])</f>
        <v/>
      </c>
      <c r="C64" s="25" t="inlineStr">
        <is>
          <t>Statements Taken</t>
        </is>
      </c>
      <c r="D64" s="44">
        <f>COUNTA(tbl_Statements[StatementID])-COUNTBLANK(tbl_Statements[StatementID])</f>
        <v/>
      </c>
      <c r="E64" s="25" t="inlineStr">
        <is>
          <t>Case Assignments</t>
        </is>
      </c>
      <c r="F64" s="44">
        <f>COUNTA(tbl_CaseAssignments[AssignmentID])-COUNTBLANK(tbl_CaseAssignments[AssignmentID])</f>
        <v/>
      </c>
      <c r="G64" s="25" t="inlineStr">
        <is>
          <t>Victim Contacts</t>
        </is>
      </c>
      <c r="H64" s="44">
        <f>COUNTA(tbl_VictimContact[ContactID])-COUNTBLANK(tbl_VictimContact[ContactID])</f>
        <v/>
      </c>
      <c r="I64" s="25" t="inlineStr">
        <is>
          <t>Investigation Plans</t>
        </is>
      </c>
      <c r="J64" s="44">
        <f>COUNTA(tbl_InvestigationPlans[PlanID])-COUNTBLANK(tbl_InvestigationPlans[PlanID])</f>
        <v/>
      </c>
      <c r="K64" s="25" t="inlineStr">
        <is>
          <t>File Checklists Done</t>
        </is>
      </c>
      <c r="L64" s="44">
        <f>COUNTA(tbl_CaseFileChecklist[ChecklistID])-COUNTBLANK(tbl_CaseFileChecklist[ChecklistID])</f>
        <v/>
      </c>
    </row>
    <row r="65">
      <c r="A65" s="25" t="inlineStr">
        <is>
          <t>Disclosures Logged</t>
        </is>
      </c>
      <c r="B65" s="44">
        <f>COUNTA(tbl_Disclosure[DisclosureID])-COUNTBLANK(tbl_Disclosure[DisclosureID])</f>
        <v/>
      </c>
      <c r="C65" s="25" t="inlineStr">
        <is>
          <t>Command Conferences</t>
        </is>
      </c>
      <c r="D65" s="44">
        <f>COUNTA(tbl_CommandConference[ConferenceID])-COUNTBLANK(tbl_CommandConference[ConferenceID])</f>
        <v/>
      </c>
      <c r="E65" s="25" t="inlineStr">
        <is>
          <t>Reviews Overdue</t>
        </is>
      </c>
      <c r="F65" s="44">
        <f>COUNTIFS(tbl_Reviews[NextReviewDue],"&lt;"&amp;TODAY())</f>
        <v/>
      </c>
      <c r="G65" s="25" t="inlineStr">
        <is>
          <t>Directives Overdue</t>
        </is>
      </c>
      <c r="H65" s="44">
        <f>COUNTIFS(tbl_Reviews[DirectiveDueDate],"&lt;"&amp;TODAY(),tbl_Reviews[DirectiveStatus],"&lt;&gt;Completed")</f>
        <v/>
      </c>
      <c r="I65" s="25" t="inlineStr">
        <is>
          <t>48hr Charge Met</t>
        </is>
      </c>
      <c r="J65" s="44">
        <f>COUNTIF(tbl_Cases[ChargeDeadlineMet],"Yes")</f>
        <v/>
      </c>
      <c r="K65" s="25" t="inlineStr">
        <is>
          <t>48hr Charge Missed</t>
        </is>
      </c>
      <c r="L65" s="44">
        <f>COUNTIF(tbl_Cases[ChargeDeadlineMet],"No")</f>
        <v/>
      </c>
    </row>
  </sheetData>
  <mergeCells count="17">
    <mergeCell ref="A24:L24"/>
    <mergeCell ref="A2:L2"/>
    <mergeCell ref="A59:L59"/>
    <mergeCell ref="A29:L29"/>
    <mergeCell ref="A52:L52"/>
    <mergeCell ref="A19:L19"/>
    <mergeCell ref="A63:L63"/>
    <mergeCell ref="A1:L1"/>
    <mergeCell ref="A32:L32"/>
    <mergeCell ref="A36:L36"/>
    <mergeCell ref="A14:L14"/>
    <mergeCell ref="A44:L44"/>
    <mergeCell ref="A40:L40"/>
    <mergeCell ref="A9:L9"/>
    <mergeCell ref="A56:L56"/>
    <mergeCell ref="A4:L4"/>
    <mergeCell ref="A48:L48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FFC000"/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 ht="48" customHeight="1">
      <c r="A1" s="30" t="inlineStr">
        <is>
          <t>FOCUSED CRIME SUPPRESSION INITIATIVE (FCSI) DASHBOARD</t>
        </is>
      </c>
    </row>
    <row r="2" ht="28" customHeight="1">
      <c r="A2" s="31" t="inlineStr">
        <is>
          <t>FNID Area 3 — FCSI Operations, Outcomes &amp; Trend Analysis</t>
        </is>
      </c>
    </row>
    <row r="4">
      <c r="A4" s="36" t="inlineStr">
        <is>
          <t>FCSI Ops Total</t>
        </is>
      </c>
      <c r="B4" s="36" t="inlineStr">
        <is>
          <t>FCSI Arrests</t>
        </is>
      </c>
      <c r="C4" s="36" t="inlineStr">
        <is>
          <t>FCSI Searches</t>
        </is>
      </c>
      <c r="D4" s="36" t="inlineStr">
        <is>
          <t>FCSI Firearms</t>
        </is>
      </c>
      <c r="E4" s="36" t="inlineStr">
        <is>
          <t>FCSI Ammo</t>
        </is>
      </c>
      <c r="F4" s="36" t="inlineStr">
        <is>
          <t>FCSI Narcotics (kg)</t>
        </is>
      </c>
      <c r="G4" s="36" t="inlineStr">
        <is>
          <t>FCSI Cash Seized</t>
        </is>
      </c>
      <c r="H4" s="36" t="inlineStr">
        <is>
          <t>Positive Outcome %</t>
        </is>
      </c>
    </row>
    <row r="5">
      <c r="A5" s="48">
        <f>COUNTIF(tbl_Operations[FCSI_Flag],"Yes")</f>
        <v/>
      </c>
      <c r="B5" s="48">
        <f>SUMIFS(tbl_Operations[Arrests],tbl_Operations[FCSI_Flag],"Yes")</f>
        <v/>
      </c>
      <c r="C5" s="48">
        <f>SUMIFS(tbl_Operations[Searches],tbl_Operations[FCSI_Flag],"Yes")</f>
        <v/>
      </c>
      <c r="D5" s="48">
        <f>SUMIFS(tbl_Operations[FirearmsSeized],tbl_Operations[FCSI_Flag],"Yes")</f>
        <v/>
      </c>
      <c r="E5" s="48">
        <f>SUMIFS(tbl_Operations[AmmunitionSeized],tbl_Operations[FCSI_Flag],"Yes")</f>
        <v/>
      </c>
      <c r="F5" s="48">
        <f>SUMIFS(tbl_Operations[NarcoticsSeized_kg],tbl_Operations[FCSI_Flag],"Yes")</f>
        <v/>
      </c>
      <c r="G5" s="48">
        <f>SUMIFS(tbl_Operations[CashSeized],tbl_Operations[FCSI_Flag],"Yes")</f>
        <v/>
      </c>
      <c r="H5" s="48">
        <f>IFERROR(COUNTIFS(tbl_Operations[FCSI_Flag],"Yes",tbl_Operations[Arrests],"&gt;"&amp;0)/COUNTIF(tbl_Operations[FCSI_Flag],"Yes"),"—")</f>
        <v/>
      </c>
    </row>
    <row r="7">
      <c r="A7" s="49" t="inlineStr">
        <is>
          <t>FCSI BREAKDOWN BY OPERATION TYPE</t>
        </is>
      </c>
    </row>
    <row r="8">
      <c r="A8" s="21" t="inlineStr">
        <is>
          <t>Op Type</t>
        </is>
      </c>
      <c r="B8" s="21" t="inlineStr">
        <is>
          <t>Count</t>
        </is>
      </c>
      <c r="C8" s="21" t="inlineStr">
        <is>
          <t>Arrests</t>
        </is>
      </c>
      <c r="D8" s="21" t="inlineStr">
        <is>
          <t>Firearms</t>
        </is>
      </c>
      <c r="E8" s="21" t="inlineStr">
        <is>
          <t>Ammo</t>
        </is>
      </c>
      <c r="F8" s="21" t="inlineStr">
        <is>
          <t>Narcotics(kg)</t>
        </is>
      </c>
    </row>
    <row r="9">
      <c r="A9" s="22" t="inlineStr">
        <is>
          <t>Search Warrant</t>
        </is>
      </c>
      <c r="B9" s="22">
        <f>COUNTIFS(tbl_Operations[OpsType],"Search Warrant",tbl_Operations[FCSI_Flag],"Yes")</f>
        <v/>
      </c>
      <c r="C9" s="22">
        <f>SUMIFS(tbl_Operations[Arrests],tbl_Operations[OpsType],"Search Warrant",tbl_Operations[FCSI_Flag],"Yes")</f>
        <v/>
      </c>
      <c r="D9" s="22">
        <f>SUMIFS(tbl_Operations[FirearmsSeized],tbl_Operations[OpsType],"Search Warrant",tbl_Operations[FCSI_Flag],"Yes")</f>
        <v/>
      </c>
      <c r="E9" s="22">
        <f>SUMIFS(tbl_Operations[AmmunitionSeized],tbl_Operations[OpsType],"Search Warrant",tbl_Operations[FCSI_Flag],"Yes")</f>
        <v/>
      </c>
      <c r="F9" s="22">
        <f>SUMIFS(tbl_Operations[NarcoticsSeized_kg],tbl_Operations[OpsType],"Search Warrant",tbl_Operations[FCSI_Flag],"Yes")</f>
        <v/>
      </c>
    </row>
    <row r="10">
      <c r="A10" s="22" t="inlineStr">
        <is>
          <t>Patrol</t>
        </is>
      </c>
      <c r="B10" s="22">
        <f>COUNTIFS(tbl_Operations[OpsType],"Patrol",tbl_Operations[FCSI_Flag],"Yes")</f>
        <v/>
      </c>
      <c r="C10" s="22">
        <f>SUMIFS(tbl_Operations[Arrests],tbl_Operations[OpsType],"Patrol",tbl_Operations[FCSI_Flag],"Yes")</f>
        <v/>
      </c>
      <c r="D10" s="22">
        <f>SUMIFS(tbl_Operations[FirearmsSeized],tbl_Operations[OpsType],"Patrol",tbl_Operations[FCSI_Flag],"Yes")</f>
        <v/>
      </c>
      <c r="E10" s="22">
        <f>SUMIFS(tbl_Operations[AmmunitionSeized],tbl_Operations[OpsType],"Patrol",tbl_Operations[FCSI_Flag],"Yes")</f>
        <v/>
      </c>
      <c r="F10" s="22">
        <f>SUMIFS(tbl_Operations[NarcoticsSeized_kg],tbl_Operations[OpsType],"Patrol",tbl_Operations[FCSI_Flag],"Yes")</f>
        <v/>
      </c>
    </row>
    <row r="11">
      <c r="A11" s="22" t="inlineStr">
        <is>
          <t>Checkpoint</t>
        </is>
      </c>
      <c r="B11" s="22">
        <f>COUNTIFS(tbl_Operations[OpsType],"Checkpoint",tbl_Operations[FCSI_Flag],"Yes")</f>
        <v/>
      </c>
      <c r="C11" s="22">
        <f>SUMIFS(tbl_Operations[Arrests],tbl_Operations[OpsType],"Checkpoint",tbl_Operations[FCSI_Flag],"Yes")</f>
        <v/>
      </c>
      <c r="D11" s="22">
        <f>SUMIFS(tbl_Operations[FirearmsSeized],tbl_Operations[OpsType],"Checkpoint",tbl_Operations[FCSI_Flag],"Yes")</f>
        <v/>
      </c>
      <c r="E11" s="22">
        <f>SUMIFS(tbl_Operations[AmmunitionSeized],tbl_Operations[OpsType],"Checkpoint",tbl_Operations[FCSI_Flag],"Yes")</f>
        <v/>
      </c>
      <c r="F11" s="22">
        <f>SUMIFS(tbl_Operations[NarcoticsSeized_kg],tbl_Operations[OpsType],"Checkpoint",tbl_Operations[FCSI_Flag],"Yes")</f>
        <v/>
      </c>
    </row>
    <row r="12">
      <c r="A12" s="22" t="inlineStr">
        <is>
          <t>Surveillance</t>
        </is>
      </c>
      <c r="B12" s="22">
        <f>COUNTIFS(tbl_Operations[OpsType],"Surveillance",tbl_Operations[FCSI_Flag],"Yes")</f>
        <v/>
      </c>
      <c r="C12" s="22">
        <f>SUMIFS(tbl_Operations[Arrests],tbl_Operations[OpsType],"Surveillance",tbl_Operations[FCSI_Flag],"Yes")</f>
        <v/>
      </c>
      <c r="D12" s="22">
        <f>SUMIFS(tbl_Operations[FirearmsSeized],tbl_Operations[OpsType],"Surveillance",tbl_Operations[FCSI_Flag],"Yes")</f>
        <v/>
      </c>
      <c r="E12" s="22">
        <f>SUMIFS(tbl_Operations[AmmunitionSeized],tbl_Operations[OpsType],"Surveillance",tbl_Operations[FCSI_Flag],"Yes")</f>
        <v/>
      </c>
      <c r="F12" s="22">
        <f>SUMIFS(tbl_Operations[NarcoticsSeized_kg],tbl_Operations[OpsType],"Surveillance",tbl_Operations[FCSI_Flag],"Yes")</f>
        <v/>
      </c>
    </row>
    <row r="13">
      <c r="A13" s="22" t="inlineStr">
        <is>
          <t>Raid</t>
        </is>
      </c>
      <c r="B13" s="22">
        <f>COUNTIFS(tbl_Operations[OpsType],"Raid",tbl_Operations[FCSI_Flag],"Yes")</f>
        <v/>
      </c>
      <c r="C13" s="22">
        <f>SUMIFS(tbl_Operations[Arrests],tbl_Operations[OpsType],"Raid",tbl_Operations[FCSI_Flag],"Yes")</f>
        <v/>
      </c>
      <c r="D13" s="22">
        <f>SUMIFS(tbl_Operations[FirearmsSeized],tbl_Operations[OpsType],"Raid",tbl_Operations[FCSI_Flag],"Yes")</f>
        <v/>
      </c>
      <c r="E13" s="22">
        <f>SUMIFS(tbl_Operations[AmmunitionSeized],tbl_Operations[OpsType],"Raid",tbl_Operations[FCSI_Flag],"Yes")</f>
        <v/>
      </c>
      <c r="F13" s="22">
        <f>SUMIFS(tbl_Operations[NarcoticsSeized_kg],tbl_Operations[OpsType],"Raid",tbl_Operations[FCSI_Flag],"Yes")</f>
        <v/>
      </c>
    </row>
    <row r="14">
      <c r="A14" s="22" t="inlineStr">
        <is>
          <t>Arrest Operation</t>
        </is>
      </c>
      <c r="B14" s="22">
        <f>COUNTIFS(tbl_Operations[OpsType],"Arrest Operation",tbl_Operations[FCSI_Flag],"Yes")</f>
        <v/>
      </c>
      <c r="C14" s="22">
        <f>SUMIFS(tbl_Operations[Arrests],tbl_Operations[OpsType],"Arrest Operation",tbl_Operations[FCSI_Flag],"Yes")</f>
        <v/>
      </c>
      <c r="D14" s="22">
        <f>SUMIFS(tbl_Operations[FirearmsSeized],tbl_Operations[OpsType],"Arrest Operation",tbl_Operations[FCSI_Flag],"Yes")</f>
        <v/>
      </c>
      <c r="E14" s="22">
        <f>SUMIFS(tbl_Operations[AmmunitionSeized],tbl_Operations[OpsType],"Arrest Operation",tbl_Operations[FCSI_Flag],"Yes")</f>
        <v/>
      </c>
      <c r="F14" s="22">
        <f>SUMIFS(tbl_Operations[NarcoticsSeized_kg],tbl_Operations[OpsType],"Arrest Operation",tbl_Operations[FCSI_Flag],"Yes")</f>
        <v/>
      </c>
    </row>
    <row r="15">
      <c r="A15" s="22" t="inlineStr">
        <is>
          <t>Joint Operation</t>
        </is>
      </c>
      <c r="B15" s="22">
        <f>COUNTIFS(tbl_Operations[OpsType],"Joint Operation",tbl_Operations[FCSI_Flag],"Yes")</f>
        <v/>
      </c>
      <c r="C15" s="22">
        <f>SUMIFS(tbl_Operations[Arrests],tbl_Operations[OpsType],"Joint Operation",tbl_Operations[FCSI_Flag],"Yes")</f>
        <v/>
      </c>
      <c r="D15" s="22">
        <f>SUMIFS(tbl_Operations[FirearmsSeized],tbl_Operations[OpsType],"Joint Operation",tbl_Operations[FCSI_Flag],"Yes")</f>
        <v/>
      </c>
      <c r="E15" s="22">
        <f>SUMIFS(tbl_Operations[AmmunitionSeized],tbl_Operations[OpsType],"Joint Operation",tbl_Operations[FCSI_Flag],"Yes")</f>
        <v/>
      </c>
      <c r="F15" s="22">
        <f>SUMIFS(tbl_Operations[NarcoticsSeized_kg],tbl_Operations[OpsType],"Joint Operation",tbl_Operations[FCSI_Flag],"Yes")</f>
        <v/>
      </c>
    </row>
    <row r="16">
      <c r="A16" s="22" t="inlineStr">
        <is>
          <t>FCSI Operation</t>
        </is>
      </c>
      <c r="B16" s="22">
        <f>COUNTIFS(tbl_Operations[OpsType],"FCSI Operation",tbl_Operations[FCSI_Flag],"Yes")</f>
        <v/>
      </c>
      <c r="C16" s="22">
        <f>SUMIFS(tbl_Operations[Arrests],tbl_Operations[OpsType],"FCSI Operation",tbl_Operations[FCSI_Flag],"Yes")</f>
        <v/>
      </c>
      <c r="D16" s="22">
        <f>SUMIFS(tbl_Operations[FirearmsSeized],tbl_Operations[OpsType],"FCSI Operation",tbl_Operations[FCSI_Flag],"Yes")</f>
        <v/>
      </c>
      <c r="E16" s="22">
        <f>SUMIFS(tbl_Operations[AmmunitionSeized],tbl_Operations[OpsType],"FCSI Operation",tbl_Operations[FCSI_Flag],"Yes")</f>
        <v/>
      </c>
      <c r="F16" s="22">
        <f>SUMIFS(tbl_Operations[NarcoticsSeized_kg],tbl_Operations[OpsType],"FCSI Operation",tbl_Operations[FCSI_Flag],"Yes")</f>
        <v/>
      </c>
    </row>
    <row r="18">
      <c r="A18" s="49" t="inlineStr">
        <is>
          <t>FCSI BREAKDOWN BY PARISH</t>
        </is>
      </c>
    </row>
    <row r="19">
      <c r="A19" s="21" t="inlineStr">
        <is>
          <t>Parish</t>
        </is>
      </c>
      <c r="B19" s="21" t="inlineStr">
        <is>
          <t>FCSI Ops</t>
        </is>
      </c>
      <c r="C19" s="21" t="inlineStr">
        <is>
          <t>Arrests</t>
        </is>
      </c>
      <c r="D19" s="21" t="inlineStr">
        <is>
          <t>Firearms</t>
        </is>
      </c>
      <c r="E19" s="21" t="inlineStr">
        <is>
          <t>Narcotics(kg)</t>
        </is>
      </c>
    </row>
    <row r="20">
      <c r="A20" s="22" t="inlineStr">
        <is>
          <t>Kingston</t>
        </is>
      </c>
      <c r="B20" s="22">
        <f>COUNTIFS(tbl_Operations[Parish],"Kingston",tbl_Operations[FCSI_Flag],"Yes")</f>
        <v/>
      </c>
      <c r="C20" s="22">
        <f>SUMIFS(tbl_Operations[Arrests],tbl_Operations[Parish],"Kingston",tbl_Operations[FCSI_Flag],"Yes")</f>
        <v/>
      </c>
      <c r="D20" s="22">
        <f>SUMIFS(tbl_Operations[FirearmsSeized],tbl_Operations[Parish],"Kingston",tbl_Operations[FCSI_Flag],"Yes")</f>
        <v/>
      </c>
      <c r="E20" s="22">
        <f>SUMIFS(tbl_Operations[NarcoticsSeized_kg],tbl_Operations[Parish],"Kingston",tbl_Operations[FCSI_Flag],"Yes")</f>
        <v/>
      </c>
    </row>
    <row r="21">
      <c r="A21" s="22" t="inlineStr">
        <is>
          <t>St. Andrew</t>
        </is>
      </c>
      <c r="B21" s="22">
        <f>COUNTIFS(tbl_Operations[Parish],"St. Andrew",tbl_Operations[FCSI_Flag],"Yes")</f>
        <v/>
      </c>
      <c r="C21" s="22">
        <f>SUMIFS(tbl_Operations[Arrests],tbl_Operations[Parish],"St. Andrew",tbl_Operations[FCSI_Flag],"Yes")</f>
        <v/>
      </c>
      <c r="D21" s="22">
        <f>SUMIFS(tbl_Operations[FirearmsSeized],tbl_Operations[Parish],"St. Andrew",tbl_Operations[FCSI_Flag],"Yes")</f>
        <v/>
      </c>
      <c r="E21" s="22">
        <f>SUMIFS(tbl_Operations[NarcoticsSeized_kg],tbl_Operations[Parish],"St. Andrew",tbl_Operations[FCSI_Flag],"Yes")</f>
        <v/>
      </c>
    </row>
    <row r="22">
      <c r="A22" s="22" t="inlineStr">
        <is>
          <t>St. Catherine</t>
        </is>
      </c>
      <c r="B22" s="22">
        <f>COUNTIFS(tbl_Operations[Parish],"St. Catherine",tbl_Operations[FCSI_Flag],"Yes")</f>
        <v/>
      </c>
      <c r="C22" s="22">
        <f>SUMIFS(tbl_Operations[Arrests],tbl_Operations[Parish],"St. Catherine",tbl_Operations[FCSI_Flag],"Yes")</f>
        <v/>
      </c>
      <c r="D22" s="22">
        <f>SUMIFS(tbl_Operations[FirearmsSeized],tbl_Operations[Parish],"St. Catherine",tbl_Operations[FCSI_Flag],"Yes")</f>
        <v/>
      </c>
      <c r="E22" s="22">
        <f>SUMIFS(tbl_Operations[NarcoticsSeized_kg],tbl_Operations[Parish],"St. Catherine",tbl_Operations[FCSI_Flag],"Yes")</f>
        <v/>
      </c>
    </row>
    <row r="23">
      <c r="A23" s="22" t="inlineStr">
        <is>
          <t>Clarendon</t>
        </is>
      </c>
      <c r="B23" s="22">
        <f>COUNTIFS(tbl_Operations[Parish],"Clarendon",tbl_Operations[FCSI_Flag],"Yes")</f>
        <v/>
      </c>
      <c r="C23" s="22">
        <f>SUMIFS(tbl_Operations[Arrests],tbl_Operations[Parish],"Clarendon",tbl_Operations[FCSI_Flag],"Yes")</f>
        <v/>
      </c>
      <c r="D23" s="22">
        <f>SUMIFS(tbl_Operations[FirearmsSeized],tbl_Operations[Parish],"Clarendon",tbl_Operations[FCSI_Flag],"Yes")</f>
        <v/>
      </c>
      <c r="E23" s="22">
        <f>SUMIFS(tbl_Operations[NarcoticsSeized_kg],tbl_Operations[Parish],"Clarendon",tbl_Operations[FCSI_Flag],"Yes")</f>
        <v/>
      </c>
    </row>
    <row r="24">
      <c r="A24" s="22" t="inlineStr">
        <is>
          <t>Manchester</t>
        </is>
      </c>
      <c r="B24" s="22">
        <f>COUNTIFS(tbl_Operations[Parish],"Manchester",tbl_Operations[FCSI_Flag],"Yes")</f>
        <v/>
      </c>
      <c r="C24" s="22">
        <f>SUMIFS(tbl_Operations[Arrests],tbl_Operations[Parish],"Manchester",tbl_Operations[FCSI_Flag],"Yes")</f>
        <v/>
      </c>
      <c r="D24" s="22">
        <f>SUMIFS(tbl_Operations[FirearmsSeized],tbl_Operations[Parish],"Manchester",tbl_Operations[FCSI_Flag],"Yes")</f>
        <v/>
      </c>
      <c r="E24" s="22">
        <f>SUMIFS(tbl_Operations[NarcoticsSeized_kg],tbl_Operations[Parish],"Manchester",tbl_Operations[FCSI_Flag],"Yes")</f>
        <v/>
      </c>
    </row>
    <row r="25">
      <c r="A25" s="22" t="inlineStr">
        <is>
          <t>St. Elizabeth</t>
        </is>
      </c>
      <c r="B25" s="22">
        <f>COUNTIFS(tbl_Operations[Parish],"St. Elizabeth",tbl_Operations[FCSI_Flag],"Yes")</f>
        <v/>
      </c>
      <c r="C25" s="22">
        <f>SUMIFS(tbl_Operations[Arrests],tbl_Operations[Parish],"St. Elizabeth",tbl_Operations[FCSI_Flag],"Yes")</f>
        <v/>
      </c>
      <c r="D25" s="22">
        <f>SUMIFS(tbl_Operations[FirearmsSeized],tbl_Operations[Parish],"St. Elizabeth",tbl_Operations[FCSI_Flag],"Yes")</f>
        <v/>
      </c>
      <c r="E25" s="22">
        <f>SUMIFS(tbl_Operations[NarcoticsSeized_kg],tbl_Operations[Parish],"St. Elizabeth",tbl_Operations[FCSI_Flag],"Yes")</f>
        <v/>
      </c>
    </row>
    <row r="26">
      <c r="A26" s="22" t="inlineStr">
        <is>
          <t>Westmoreland</t>
        </is>
      </c>
      <c r="B26" s="22">
        <f>COUNTIFS(tbl_Operations[Parish],"Westmoreland",tbl_Operations[FCSI_Flag],"Yes")</f>
        <v/>
      </c>
      <c r="C26" s="22">
        <f>SUMIFS(tbl_Operations[Arrests],tbl_Operations[Parish],"Westmoreland",tbl_Operations[FCSI_Flag],"Yes")</f>
        <v/>
      </c>
      <c r="D26" s="22">
        <f>SUMIFS(tbl_Operations[FirearmsSeized],tbl_Operations[Parish],"Westmoreland",tbl_Operations[FCSI_Flag],"Yes")</f>
        <v/>
      </c>
      <c r="E26" s="22">
        <f>SUMIFS(tbl_Operations[NarcoticsSeized_kg],tbl_Operations[Parish],"Westmoreland",tbl_Operations[FCSI_Flag],"Yes")</f>
        <v/>
      </c>
    </row>
    <row r="27">
      <c r="A27" s="22" t="inlineStr">
        <is>
          <t>Hanover</t>
        </is>
      </c>
      <c r="B27" s="22">
        <f>COUNTIFS(tbl_Operations[Parish],"Hanover",tbl_Operations[FCSI_Flag],"Yes")</f>
        <v/>
      </c>
      <c r="C27" s="22">
        <f>SUMIFS(tbl_Operations[Arrests],tbl_Operations[Parish],"Hanover",tbl_Operations[FCSI_Flag],"Yes")</f>
        <v/>
      </c>
      <c r="D27" s="22">
        <f>SUMIFS(tbl_Operations[FirearmsSeized],tbl_Operations[Parish],"Hanover",tbl_Operations[FCSI_Flag],"Yes")</f>
        <v/>
      </c>
      <c r="E27" s="22">
        <f>SUMIFS(tbl_Operations[NarcoticsSeized_kg],tbl_Operations[Parish],"Hanover",tbl_Operations[FCSI_Flag],"Yes")</f>
        <v/>
      </c>
    </row>
    <row r="28">
      <c r="A28" s="22" t="inlineStr">
        <is>
          <t>St. James</t>
        </is>
      </c>
      <c r="B28" s="22">
        <f>COUNTIFS(tbl_Operations[Parish],"St. James",tbl_Operations[FCSI_Flag],"Yes")</f>
        <v/>
      </c>
      <c r="C28" s="22">
        <f>SUMIFS(tbl_Operations[Arrests],tbl_Operations[Parish],"St. James",tbl_Operations[FCSI_Flag],"Yes")</f>
        <v/>
      </c>
      <c r="D28" s="22">
        <f>SUMIFS(tbl_Operations[FirearmsSeized],tbl_Operations[Parish],"St. James",tbl_Operations[FCSI_Flag],"Yes")</f>
        <v/>
      </c>
      <c r="E28" s="22">
        <f>SUMIFS(tbl_Operations[NarcoticsSeized_kg],tbl_Operations[Parish],"St. James",tbl_Operations[FCSI_Flag],"Yes")</f>
        <v/>
      </c>
    </row>
    <row r="29">
      <c r="A29" s="22" t="inlineStr">
        <is>
          <t>Trelawny</t>
        </is>
      </c>
      <c r="B29" s="22">
        <f>COUNTIFS(tbl_Operations[Parish],"Trelawny",tbl_Operations[FCSI_Flag],"Yes")</f>
        <v/>
      </c>
      <c r="C29" s="22">
        <f>SUMIFS(tbl_Operations[Arrests],tbl_Operations[Parish],"Trelawny",tbl_Operations[FCSI_Flag],"Yes")</f>
        <v/>
      </c>
      <c r="D29" s="22">
        <f>SUMIFS(tbl_Operations[FirearmsSeized],tbl_Operations[Parish],"Trelawny",tbl_Operations[FCSI_Flag],"Yes")</f>
        <v/>
      </c>
      <c r="E29" s="22">
        <f>SUMIFS(tbl_Operations[NarcoticsSeized_kg],tbl_Operations[Parish],"Trelawny",tbl_Operations[FCSI_Flag],"Yes")</f>
        <v/>
      </c>
    </row>
    <row r="30">
      <c r="A30" s="22" t="inlineStr">
        <is>
          <t>St. Ann</t>
        </is>
      </c>
      <c r="B30" s="22">
        <f>COUNTIFS(tbl_Operations[Parish],"St. Ann",tbl_Operations[FCSI_Flag],"Yes")</f>
        <v/>
      </c>
      <c r="C30" s="22">
        <f>SUMIFS(tbl_Operations[Arrests],tbl_Operations[Parish],"St. Ann",tbl_Operations[FCSI_Flag],"Yes")</f>
        <v/>
      </c>
      <c r="D30" s="22">
        <f>SUMIFS(tbl_Operations[FirearmsSeized],tbl_Operations[Parish],"St. Ann",tbl_Operations[FCSI_Flag],"Yes")</f>
        <v/>
      </c>
      <c r="E30" s="22">
        <f>SUMIFS(tbl_Operations[NarcoticsSeized_kg],tbl_Operations[Parish],"St. Ann",tbl_Operations[FCSI_Flag],"Yes")</f>
        <v/>
      </c>
    </row>
    <row r="31">
      <c r="A31" s="22" t="inlineStr">
        <is>
          <t>St. Mary</t>
        </is>
      </c>
      <c r="B31" s="22">
        <f>COUNTIFS(tbl_Operations[Parish],"St. Mary",tbl_Operations[FCSI_Flag],"Yes")</f>
        <v/>
      </c>
      <c r="C31" s="22">
        <f>SUMIFS(tbl_Operations[Arrests],tbl_Operations[Parish],"St. Mary",tbl_Operations[FCSI_Flag],"Yes")</f>
        <v/>
      </c>
      <c r="D31" s="22">
        <f>SUMIFS(tbl_Operations[FirearmsSeized],tbl_Operations[Parish],"St. Mary",tbl_Operations[FCSI_Flag],"Yes")</f>
        <v/>
      </c>
      <c r="E31" s="22">
        <f>SUMIFS(tbl_Operations[NarcoticsSeized_kg],tbl_Operations[Parish],"St. Mary",tbl_Operations[FCSI_Flag],"Yes")</f>
        <v/>
      </c>
    </row>
    <row r="32">
      <c r="A32" s="22" t="inlineStr">
        <is>
          <t>Portland</t>
        </is>
      </c>
      <c r="B32" s="22">
        <f>COUNTIFS(tbl_Operations[Parish],"Portland",tbl_Operations[FCSI_Flag],"Yes")</f>
        <v/>
      </c>
      <c r="C32" s="22">
        <f>SUMIFS(tbl_Operations[Arrests],tbl_Operations[Parish],"Portland",tbl_Operations[FCSI_Flag],"Yes")</f>
        <v/>
      </c>
      <c r="D32" s="22">
        <f>SUMIFS(tbl_Operations[FirearmsSeized],tbl_Operations[Parish],"Portland",tbl_Operations[FCSI_Flag],"Yes")</f>
        <v/>
      </c>
      <c r="E32" s="22">
        <f>SUMIFS(tbl_Operations[NarcoticsSeized_kg],tbl_Operations[Parish],"Portland",tbl_Operations[FCSI_Flag],"Yes")</f>
        <v/>
      </c>
    </row>
    <row r="33">
      <c r="A33" s="22" t="inlineStr">
        <is>
          <t>St. Thomas</t>
        </is>
      </c>
      <c r="B33" s="22">
        <f>COUNTIFS(tbl_Operations[Parish],"St. Thomas",tbl_Operations[FCSI_Flag],"Yes")</f>
        <v/>
      </c>
      <c r="C33" s="22">
        <f>SUMIFS(tbl_Operations[Arrests],tbl_Operations[Parish],"St. Thomas",tbl_Operations[FCSI_Flag],"Yes")</f>
        <v/>
      </c>
      <c r="D33" s="22">
        <f>SUMIFS(tbl_Operations[FirearmsSeized],tbl_Operations[Parish],"St. Thomas",tbl_Operations[FCSI_Flag],"Yes")</f>
        <v/>
      </c>
      <c r="E33" s="22">
        <f>SUMIFS(tbl_Operations[NarcoticsSeized_kg],tbl_Operations[Parish],"St. Thomas",tbl_Operations[FCSI_Flag],"Yes")</f>
        <v/>
      </c>
    </row>
  </sheetData>
  <mergeCells count="4">
    <mergeCell ref="A7:H7"/>
    <mergeCell ref="A2:L2"/>
    <mergeCell ref="A1:L1"/>
    <mergeCell ref="A18:H18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808080"/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30" customHeight="1">
      <c r="A1" s="51" t="inlineStr">
        <is>
          <t>JAMAICA CONSTABULARY FORCE — CR1 FORM</t>
        </is>
      </c>
    </row>
    <row r="2">
      <c r="A2" s="52" t="inlineStr">
        <is>
          <t>CRIME REPORT — INITIAL COMPLAINT</t>
        </is>
      </c>
    </row>
    <row r="4">
      <c r="A4" s="53" t="inlineStr">
        <is>
          <t>Case Reference No.:</t>
        </is>
      </c>
      <c r="B4" s="63" t="inlineStr"/>
      <c r="C4" s="61" t="n"/>
      <c r="D4" s="61" t="n"/>
      <c r="E4" s="61" t="n"/>
      <c r="F4" s="61" t="n"/>
    </row>
    <row r="5">
      <c r="A5" s="53" t="inlineStr">
        <is>
          <t>Date of Report:</t>
        </is>
      </c>
      <c r="B5" s="63" t="inlineStr"/>
      <c r="C5" s="61" t="n"/>
      <c r="D5" s="61" t="n"/>
      <c r="E5" s="61" t="n"/>
      <c r="F5" s="61" t="n"/>
    </row>
    <row r="6">
      <c r="A6" s="53" t="inlineStr">
        <is>
          <t>Time of Report:</t>
        </is>
      </c>
      <c r="B6" s="63" t="inlineStr"/>
      <c r="C6" s="61" t="n"/>
      <c r="D6" s="61" t="n"/>
      <c r="E6" s="61" t="n"/>
      <c r="F6" s="61" t="n"/>
    </row>
    <row r="7">
      <c r="A7" s="53" t="inlineStr">
        <is>
          <t>Station:</t>
        </is>
      </c>
      <c r="B7" s="63" t="inlineStr"/>
      <c r="C7" s="61" t="n"/>
      <c r="D7" s="61" t="n"/>
      <c r="E7" s="61" t="n"/>
      <c r="F7" s="61" t="n"/>
    </row>
    <row r="8">
      <c r="A8" s="53" t="inlineStr">
        <is>
          <t>Division:</t>
        </is>
      </c>
      <c r="B8" s="63" t="inlineStr">
        <is>
          <t>FNID Area 3</t>
        </is>
      </c>
      <c r="C8" s="61" t="n"/>
      <c r="D8" s="61" t="n"/>
      <c r="E8" s="61" t="n"/>
      <c r="F8" s="61" t="n"/>
    </row>
    <row r="9">
      <c r="A9" s="53" t="inlineStr">
        <is>
          <t>Reporting Officer:</t>
        </is>
      </c>
      <c r="B9" s="63" t="inlineStr"/>
      <c r="C9" s="61" t="n"/>
      <c r="D9" s="61" t="n"/>
      <c r="E9" s="61" t="n"/>
      <c r="F9" s="61" t="n"/>
    </row>
    <row r="10">
      <c r="A10" s="53" t="inlineStr">
        <is>
          <t>Rank:</t>
        </is>
      </c>
      <c r="B10" s="63" t="inlineStr"/>
      <c r="C10" s="61" t="n"/>
      <c r="D10" s="61" t="n"/>
      <c r="E10" s="61" t="n"/>
      <c r="F10" s="61" t="n"/>
    </row>
    <row r="11">
      <c r="A11" s="53" t="inlineStr">
        <is>
          <t>Badge No.:</t>
        </is>
      </c>
      <c r="B11" s="63" t="inlineStr"/>
      <c r="C11" s="61" t="n"/>
      <c r="D11" s="61" t="n"/>
      <c r="E11" s="61" t="n"/>
      <c r="F11" s="61" t="n"/>
    </row>
    <row r="13">
      <c r="A13" s="55" t="inlineStr">
        <is>
          <t>COMPLAINANT DETAILS</t>
        </is>
      </c>
    </row>
    <row r="14">
      <c r="A14" s="53" t="inlineStr">
        <is>
          <t>Full Name:</t>
        </is>
      </c>
      <c r="B14" s="63" t="inlineStr"/>
      <c r="C14" s="61" t="n"/>
      <c r="D14" s="61" t="n"/>
      <c r="E14" s="61" t="n"/>
      <c r="F14" s="61" t="n"/>
    </row>
    <row r="15">
      <c r="A15" s="53" t="inlineStr">
        <is>
          <t>Address:</t>
        </is>
      </c>
      <c r="B15" s="63" t="inlineStr"/>
      <c r="C15" s="61" t="n"/>
      <c r="D15" s="61" t="n"/>
      <c r="E15" s="61" t="n"/>
      <c r="F15" s="61" t="n"/>
    </row>
    <row r="16">
      <c r="A16" s="53" t="inlineStr">
        <is>
          <t>Phone:</t>
        </is>
      </c>
      <c r="B16" s="63" t="inlineStr"/>
      <c r="C16" s="61" t="n"/>
      <c r="D16" s="61" t="n"/>
      <c r="E16" s="61" t="n"/>
      <c r="F16" s="61" t="n"/>
    </row>
    <row r="17">
      <c r="A17" s="53" t="inlineStr">
        <is>
          <t>ID Type &amp; No.:</t>
        </is>
      </c>
      <c r="B17" s="63" t="inlineStr"/>
      <c r="C17" s="61" t="n"/>
      <c r="D17" s="61" t="n"/>
      <c r="E17" s="61" t="n"/>
      <c r="F17" s="61" t="n"/>
    </row>
    <row r="19">
      <c r="A19" s="55" t="inlineStr">
        <is>
          <t>OFFENCE DETAILS</t>
        </is>
      </c>
    </row>
    <row r="20">
      <c r="A20" s="53" t="inlineStr">
        <is>
          <t>Offence Type:</t>
        </is>
      </c>
      <c r="B20" s="63" t="inlineStr"/>
      <c r="C20" s="61" t="n"/>
      <c r="D20" s="61" t="n"/>
      <c r="E20" s="61" t="n"/>
      <c r="F20" s="61" t="n"/>
    </row>
    <row r="21">
      <c r="A21" s="53" t="inlineStr">
        <is>
          <t>Date of Offence:</t>
        </is>
      </c>
      <c r="B21" s="63" t="inlineStr"/>
      <c r="C21" s="61" t="n"/>
      <c r="D21" s="61" t="n"/>
      <c r="E21" s="61" t="n"/>
      <c r="F21" s="61" t="n"/>
    </row>
    <row r="22">
      <c r="A22" s="53" t="inlineStr">
        <is>
          <t>Time of Offence:</t>
        </is>
      </c>
      <c r="B22" s="63" t="inlineStr"/>
      <c r="C22" s="61" t="n"/>
      <c r="D22" s="61" t="n"/>
      <c r="E22" s="61" t="n"/>
      <c r="F22" s="61" t="n"/>
    </row>
    <row r="23">
      <c r="A23" s="53" t="inlineStr">
        <is>
          <t>Location of Offence:</t>
        </is>
      </c>
      <c r="B23" s="63" t="inlineStr"/>
      <c r="C23" s="61" t="n"/>
      <c r="D23" s="61" t="n"/>
      <c r="E23" s="61" t="n"/>
      <c r="F23" s="61" t="n"/>
    </row>
    <row r="24">
      <c r="A24" s="53" t="inlineStr">
        <is>
          <t>Parish:</t>
        </is>
      </c>
      <c r="B24" s="63" t="inlineStr"/>
      <c r="C24" s="61" t="n"/>
      <c r="D24" s="61" t="n"/>
      <c r="E24" s="61" t="n"/>
      <c r="F24" s="61" t="n"/>
    </row>
    <row r="26">
      <c r="A26" s="55" t="inlineStr">
        <is>
          <t>NARRATIVE / PARTICULARS</t>
        </is>
      </c>
    </row>
    <row r="33">
      <c r="A33" s="55" t="inlineStr">
        <is>
          <t>SUSPECT INFORMATION</t>
        </is>
      </c>
    </row>
    <row r="34">
      <c r="A34" s="53" t="inlineStr">
        <is>
          <t>Suspect Name:</t>
        </is>
      </c>
      <c r="B34" s="63" t="inlineStr"/>
      <c r="C34" s="61" t="n"/>
      <c r="D34" s="61" t="n"/>
      <c r="E34" s="61" t="n"/>
      <c r="F34" s="61" t="n"/>
    </row>
    <row r="35">
      <c r="A35" s="53" t="inlineStr">
        <is>
          <t>Alias:</t>
        </is>
      </c>
      <c r="B35" s="63" t="inlineStr"/>
      <c r="C35" s="61" t="n"/>
      <c r="D35" s="61" t="n"/>
      <c r="E35" s="61" t="n"/>
      <c r="F35" s="61" t="n"/>
    </row>
    <row r="36">
      <c r="A36" s="53" t="inlineStr">
        <is>
          <t>Description:</t>
        </is>
      </c>
      <c r="B36" s="63" t="inlineStr"/>
      <c r="C36" s="61" t="n"/>
      <c r="D36" s="61" t="n"/>
      <c r="E36" s="61" t="n"/>
      <c r="F36" s="61" t="n"/>
    </row>
    <row r="37">
      <c r="A37" s="53" t="inlineStr">
        <is>
          <t>Address:</t>
        </is>
      </c>
      <c r="B37" s="63" t="inlineStr"/>
      <c r="C37" s="61" t="n"/>
      <c r="D37" s="61" t="n"/>
      <c r="E37" s="61" t="n"/>
      <c r="F37" s="61" t="n"/>
    </row>
    <row r="39">
      <c r="A39" s="55" t="inlineStr">
        <is>
          <t>WITNESS INFORMATION</t>
        </is>
      </c>
    </row>
    <row r="40">
      <c r="A40" s="53" t="inlineStr">
        <is>
          <t>Witness 1:</t>
        </is>
      </c>
      <c r="B40" s="63" t="inlineStr"/>
      <c r="C40" s="61" t="n"/>
      <c r="D40" s="61" t="n"/>
      <c r="E40" s="61" t="n"/>
      <c r="F40" s="61" t="n"/>
    </row>
    <row r="41">
      <c r="A41" s="53" t="inlineStr">
        <is>
          <t>Witness 2:</t>
        </is>
      </c>
      <c r="B41" s="63" t="inlineStr"/>
      <c r="C41" s="61" t="n"/>
      <c r="D41" s="61" t="n"/>
      <c r="E41" s="61" t="n"/>
      <c r="F41" s="61" t="n"/>
    </row>
    <row r="43">
      <c r="A43" s="53" t="inlineStr">
        <is>
          <t>OFFICER SIGNATURE:</t>
        </is>
      </c>
      <c r="B43" s="63" t="inlineStr"/>
      <c r="C43" s="61" t="n"/>
      <c r="D43" s="61" t="n"/>
      <c r="E43" s="61" t="n"/>
      <c r="F43" s="61" t="n"/>
    </row>
    <row r="44">
      <c r="A44" s="53" t="inlineStr">
        <is>
          <t>SUPERVISOR SIGNATURE:</t>
        </is>
      </c>
      <c r="B44" s="63" t="inlineStr"/>
      <c r="C44" s="61" t="n"/>
      <c r="D44" s="61" t="n"/>
      <c r="E44" s="61" t="n"/>
      <c r="F44" s="61" t="n"/>
    </row>
    <row r="45">
      <c r="A45" s="53" t="inlineStr">
        <is>
          <t>DATE:</t>
        </is>
      </c>
      <c r="B45" s="63" t="inlineStr"/>
      <c r="C45" s="61" t="n"/>
      <c r="D45" s="61" t="n"/>
      <c r="E45" s="61" t="n"/>
      <c r="F45" s="61" t="n"/>
    </row>
  </sheetData>
  <mergeCells count="33">
    <mergeCell ref="B4:F4"/>
    <mergeCell ref="B7:F7"/>
    <mergeCell ref="B16:F16"/>
    <mergeCell ref="B22:F22"/>
    <mergeCell ref="A26:F26"/>
    <mergeCell ref="B21:F21"/>
    <mergeCell ref="A2:F2"/>
    <mergeCell ref="A33:F33"/>
    <mergeCell ref="B43:F43"/>
    <mergeCell ref="B11:F11"/>
    <mergeCell ref="B23:F23"/>
    <mergeCell ref="B14:F14"/>
    <mergeCell ref="B8:F8"/>
    <mergeCell ref="B17:F17"/>
    <mergeCell ref="B44:F44"/>
    <mergeCell ref="A13:F13"/>
    <mergeCell ref="A19:F19"/>
    <mergeCell ref="B34:F34"/>
    <mergeCell ref="B10:F10"/>
    <mergeCell ref="B37:F37"/>
    <mergeCell ref="A39:F39"/>
    <mergeCell ref="B40:F40"/>
    <mergeCell ref="B9:F9"/>
    <mergeCell ref="B6:F6"/>
    <mergeCell ref="B24:F24"/>
    <mergeCell ref="B20:F20"/>
    <mergeCell ref="B15:F15"/>
    <mergeCell ref="A1:F1"/>
    <mergeCell ref="B5:F5"/>
    <mergeCell ref="B45:F45"/>
    <mergeCell ref="B36:F36"/>
    <mergeCell ref="B41:F41"/>
    <mergeCell ref="B35:F35"/>
  </mergeCells>
  <pageMargins left="0.75" right="0.75" top="1" bottom="1" header="0.5" footer="0.5"/>
  <pageSetup orientation="portrait" paperSize="9"/>
</worksheet>
</file>

<file path=xl/worksheets/sheet33.xml><?xml version="1.0" encoding="utf-8"?>
<worksheet xmlns="http://schemas.openxmlformats.org/spreadsheetml/2006/main">
  <sheetPr>
    <tabColor rgb="00808080"/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1" t="inlineStr">
        <is>
          <t>JAMAICA CONSTABULARY FORCE — CR2 FORM</t>
        </is>
      </c>
    </row>
    <row r="2">
      <c r="A2" s="52" t="inlineStr">
        <is>
          <t>CRIME REPORT — INVESTIGATION PROGRESS</t>
        </is>
      </c>
    </row>
    <row r="4">
      <c r="A4" s="53" t="inlineStr">
        <is>
          <t>Case Reference No.:</t>
        </is>
      </c>
      <c r="B4" s="64" t="n"/>
      <c r="C4" s="61" t="n"/>
      <c r="D4" s="61" t="n"/>
      <c r="E4" s="61" t="n"/>
      <c r="F4" s="61" t="n"/>
    </row>
    <row r="5">
      <c r="A5" s="53" t="inlineStr">
        <is>
          <t>Linked CR1 No.:</t>
        </is>
      </c>
      <c r="B5" s="64" t="n"/>
      <c r="C5" s="61" t="n"/>
      <c r="D5" s="61" t="n"/>
      <c r="E5" s="61" t="n"/>
      <c r="F5" s="61" t="n"/>
    </row>
    <row r="6">
      <c r="A6" s="53" t="inlineStr">
        <is>
          <t>Investigation Officer:</t>
        </is>
      </c>
      <c r="B6" s="64" t="n"/>
      <c r="C6" s="61" t="n"/>
      <c r="D6" s="61" t="n"/>
      <c r="E6" s="61" t="n"/>
      <c r="F6" s="61" t="n"/>
    </row>
    <row r="7">
      <c r="A7" s="53" t="inlineStr">
        <is>
          <t>Rank:</t>
        </is>
      </c>
      <c r="B7" s="64" t="n"/>
      <c r="C7" s="61" t="n"/>
      <c r="D7" s="61" t="n"/>
      <c r="E7" s="61" t="n"/>
      <c r="F7" s="61" t="n"/>
    </row>
    <row r="8">
      <c r="A8" s="53" t="inlineStr">
        <is>
          <t>Badge No.:</t>
        </is>
      </c>
      <c r="B8" s="64" t="n"/>
      <c r="C8" s="61" t="n"/>
      <c r="D8" s="61" t="n"/>
      <c r="E8" s="61" t="n"/>
      <c r="F8" s="61" t="n"/>
    </row>
    <row r="9">
      <c r="A9" s="53" t="inlineStr">
        <is>
          <t>Date:</t>
        </is>
      </c>
      <c r="B9" s="64" t="n"/>
      <c r="C9" s="61" t="n"/>
      <c r="D9" s="61" t="n"/>
      <c r="E9" s="61" t="n"/>
      <c r="F9" s="61" t="n"/>
    </row>
    <row r="11">
      <c r="A11" s="55" t="inlineStr">
        <is>
          <t>INVESTIGATION PROGRESS</t>
        </is>
      </c>
    </row>
    <row r="12">
      <c r="A12" s="53" t="inlineStr">
        <is>
          <t>Actions Taken:</t>
        </is>
      </c>
      <c r="B12" s="64" t="n"/>
      <c r="C12" s="61" t="n"/>
      <c r="D12" s="61" t="n"/>
      <c r="E12" s="61" t="n"/>
      <c r="F12" s="61" t="n"/>
    </row>
    <row r="15">
      <c r="A15" s="53" t="inlineStr">
        <is>
          <t>Witnesses Interviewed:</t>
        </is>
      </c>
      <c r="B15" s="64" t="n"/>
      <c r="C15" s="61" t="n"/>
      <c r="D15" s="61" t="n"/>
      <c r="E15" s="61" t="n"/>
      <c r="F15" s="61" t="n"/>
    </row>
    <row r="17">
      <c r="A17" s="53" t="inlineStr">
        <is>
          <t>Evidence Collected:</t>
        </is>
      </c>
      <c r="B17" s="64" t="n"/>
      <c r="C17" s="61" t="n"/>
      <c r="D17" s="61" t="n"/>
      <c r="E17" s="61" t="n"/>
      <c r="F17" s="61" t="n"/>
    </row>
    <row r="19">
      <c r="A19" s="53" t="inlineStr">
        <is>
          <t>Suspect Status:</t>
        </is>
      </c>
      <c r="B19" s="64" t="n"/>
      <c r="C19" s="61" t="n"/>
      <c r="D19" s="61" t="n"/>
      <c r="E19" s="61" t="n"/>
      <c r="F19" s="61" t="n"/>
    </row>
    <row r="21">
      <c r="A21" s="55" t="inlineStr">
        <is>
          <t>FORENSIC SUBMISSIONS</t>
        </is>
      </c>
    </row>
    <row r="22">
      <c r="A22" s="53" t="inlineStr">
        <is>
          <t>Exhibits Submitted:</t>
        </is>
      </c>
      <c r="B22" s="64" t="n"/>
      <c r="C22" s="61" t="n"/>
      <c r="D22" s="61" t="n"/>
      <c r="E22" s="61" t="n"/>
      <c r="F22" s="61" t="n"/>
    </row>
    <row r="23">
      <c r="A23" s="53" t="inlineStr">
        <is>
          <t>Lab/Agency:</t>
        </is>
      </c>
      <c r="B23" s="64" t="n"/>
      <c r="C23" s="61" t="n"/>
      <c r="D23" s="61" t="n"/>
      <c r="E23" s="61" t="n"/>
      <c r="F23" s="61" t="n"/>
    </row>
    <row r="24">
      <c r="A24" s="53" t="inlineStr">
        <is>
          <t>Date Submitted:</t>
        </is>
      </c>
      <c r="B24" s="64" t="n"/>
      <c r="C24" s="61" t="n"/>
      <c r="D24" s="61" t="n"/>
      <c r="E24" s="61" t="n"/>
      <c r="F24" s="61" t="n"/>
    </row>
    <row r="26">
      <c r="A26" s="55" t="inlineStr">
        <is>
          <t>RECOMMENDATIONS</t>
        </is>
      </c>
    </row>
    <row r="30">
      <c r="A30" s="55" t="inlineStr">
        <is>
          <t>SUPERVISOR REVIEW</t>
        </is>
      </c>
    </row>
    <row r="31">
      <c r="A31" s="53" t="inlineStr">
        <is>
          <t>Reviewed By:</t>
        </is>
      </c>
      <c r="B31" s="64" t="n"/>
      <c r="C31" s="61" t="n"/>
      <c r="D31" s="61" t="n"/>
      <c r="E31" s="61" t="n"/>
      <c r="F31" s="61" t="n"/>
    </row>
    <row r="32">
      <c r="A32" s="53" t="inlineStr">
        <is>
          <t>Date:</t>
        </is>
      </c>
      <c r="B32" s="64" t="n"/>
      <c r="C32" s="61" t="n"/>
      <c r="D32" s="61" t="n"/>
      <c r="E32" s="61" t="n"/>
      <c r="F32" s="61" t="n"/>
    </row>
    <row r="33">
      <c r="A33" s="53" t="inlineStr">
        <is>
          <t>Comments:</t>
        </is>
      </c>
      <c r="B33" s="64" t="n"/>
      <c r="C33" s="61" t="n"/>
      <c r="D33" s="61" t="n"/>
      <c r="E33" s="61" t="n"/>
      <c r="F33" s="61" t="n"/>
    </row>
    <row r="36">
      <c r="A36" s="55" t="inlineStr">
        <is>
          <t>SIGNATURES</t>
        </is>
      </c>
    </row>
    <row r="37">
      <c r="A37" s="53" t="inlineStr">
        <is>
          <t>Investigating Officer:</t>
        </is>
      </c>
      <c r="B37" s="64" t="n"/>
      <c r="C37" s="61" t="n"/>
      <c r="D37" s="61" t="n"/>
      <c r="E37" s="61" t="n"/>
      <c r="F37" s="61" t="n"/>
    </row>
    <row r="38">
      <c r="A38" s="53" t="inlineStr">
        <is>
          <t>Supervisor:</t>
        </is>
      </c>
      <c r="B38" s="64" t="n"/>
      <c r="C38" s="61" t="n"/>
      <c r="D38" s="61" t="n"/>
      <c r="E38" s="61" t="n"/>
      <c r="F38" s="61" t="n"/>
    </row>
    <row r="39">
      <c r="A39" s="53" t="inlineStr">
        <is>
          <t>Date:</t>
        </is>
      </c>
      <c r="B39" s="64" t="n"/>
      <c r="C39" s="61" t="n"/>
      <c r="D39" s="61" t="n"/>
      <c r="E39" s="61" t="n"/>
      <c r="F39" s="61" t="n"/>
    </row>
  </sheetData>
  <mergeCells count="26">
    <mergeCell ref="B4:F4"/>
    <mergeCell ref="B7:F7"/>
    <mergeCell ref="B31:F31"/>
    <mergeCell ref="B22:F22"/>
    <mergeCell ref="A26:F26"/>
    <mergeCell ref="A21:F21"/>
    <mergeCell ref="A2:F2"/>
    <mergeCell ref="B12:F12"/>
    <mergeCell ref="B39:F39"/>
    <mergeCell ref="B23:F23"/>
    <mergeCell ref="B8:F8"/>
    <mergeCell ref="B17:F17"/>
    <mergeCell ref="B38:F38"/>
    <mergeCell ref="B19:F19"/>
    <mergeCell ref="B37:F37"/>
    <mergeCell ref="A30:F30"/>
    <mergeCell ref="B9:F9"/>
    <mergeCell ref="A11:F11"/>
    <mergeCell ref="B6:F6"/>
    <mergeCell ref="B24:F24"/>
    <mergeCell ref="A36:F36"/>
    <mergeCell ref="B15:F15"/>
    <mergeCell ref="B33:F33"/>
    <mergeCell ref="A1:F1"/>
    <mergeCell ref="B5:F5"/>
    <mergeCell ref="B32:F3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808080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1" t="inlineStr">
        <is>
          <t>JAMAICA CONSTABULARY FORCE — CR5 FORM</t>
        </is>
      </c>
    </row>
    <row r="2">
      <c r="A2" s="52" t="inlineStr">
        <is>
          <t>CRIME REPORT — CASE CLOSURE / DISPOSAL</t>
        </is>
      </c>
    </row>
    <row r="4">
      <c r="A4" s="53" t="inlineStr">
        <is>
          <t>Case Reference No.:</t>
        </is>
      </c>
      <c r="B4" s="64" t="n"/>
      <c r="C4" s="61" t="n"/>
      <c r="D4" s="61" t="n"/>
      <c r="E4" s="61" t="n"/>
      <c r="F4" s="61" t="n"/>
    </row>
    <row r="5">
      <c r="A5" s="53" t="inlineStr">
        <is>
          <t>Linked CR1 No.:</t>
        </is>
      </c>
      <c r="B5" s="64" t="n"/>
      <c r="C5" s="61" t="n"/>
      <c r="D5" s="61" t="n"/>
      <c r="E5" s="61" t="n"/>
      <c r="F5" s="61" t="n"/>
    </row>
    <row r="6">
      <c r="A6" s="53" t="inlineStr">
        <is>
          <t>Linked CR2 No.:</t>
        </is>
      </c>
      <c r="B6" s="64" t="n"/>
      <c r="C6" s="61" t="n"/>
      <c r="D6" s="61" t="n"/>
      <c r="E6" s="61" t="n"/>
      <c r="F6" s="61" t="n"/>
    </row>
    <row r="7">
      <c r="A7" s="53" t="inlineStr">
        <is>
          <t>Offence:</t>
        </is>
      </c>
      <c r="B7" s="64" t="n"/>
      <c r="C7" s="61" t="n"/>
      <c r="D7" s="61" t="n"/>
      <c r="E7" s="61" t="n"/>
      <c r="F7" s="61" t="n"/>
    </row>
    <row r="8">
      <c r="A8" s="53" t="inlineStr">
        <is>
          <t>Date of Offence:</t>
        </is>
      </c>
      <c r="B8" s="64" t="n"/>
      <c r="C8" s="61" t="n"/>
      <c r="D8" s="61" t="n"/>
      <c r="E8" s="61" t="n"/>
      <c r="F8" s="61" t="n"/>
    </row>
    <row r="9">
      <c r="A9" s="53" t="inlineStr">
        <is>
          <t>Investigating Officer:</t>
        </is>
      </c>
      <c r="B9" s="64" t="n"/>
      <c r="C9" s="61" t="n"/>
      <c r="D9" s="61" t="n"/>
      <c r="E9" s="61" t="n"/>
      <c r="F9" s="61" t="n"/>
    </row>
    <row r="10">
      <c r="A10" s="53" t="inlineStr">
        <is>
          <t>Rank:</t>
        </is>
      </c>
      <c r="B10" s="64" t="n"/>
      <c r="C10" s="61" t="n"/>
      <c r="D10" s="61" t="n"/>
      <c r="E10" s="61" t="n"/>
      <c r="F10" s="61" t="n"/>
    </row>
    <row r="12">
      <c r="A12" s="55" t="inlineStr">
        <is>
          <t>DISPOSAL DETAILS</t>
        </is>
      </c>
    </row>
    <row r="13">
      <c r="A13" s="53" t="inlineStr">
        <is>
          <t>Disposal Type:</t>
        </is>
      </c>
      <c r="B13" s="64" t="n"/>
      <c r="C13" s="61" t="n"/>
      <c r="D13" s="61" t="n"/>
      <c r="E13" s="61" t="n"/>
      <c r="F13" s="61" t="n"/>
    </row>
    <row r="14">
      <c r="A14" s="53" t="inlineStr">
        <is>
          <t>Court:</t>
        </is>
      </c>
      <c r="B14" s="64" t="n"/>
      <c r="C14" s="61" t="n"/>
      <c r="D14" s="61" t="n"/>
      <c r="E14" s="61" t="n"/>
      <c r="F14" s="61" t="n"/>
    </row>
    <row r="15">
      <c r="A15" s="53" t="inlineStr">
        <is>
          <t>Court Date:</t>
        </is>
      </c>
      <c r="B15" s="64" t="n"/>
      <c r="C15" s="61" t="n"/>
      <c r="D15" s="61" t="n"/>
      <c r="E15" s="61" t="n"/>
      <c r="F15" s="61" t="n"/>
    </row>
    <row r="16">
      <c r="A16" s="53" t="inlineStr">
        <is>
          <t>Verdict:</t>
        </is>
      </c>
      <c r="B16" s="64" t="n"/>
      <c r="C16" s="61" t="n"/>
      <c r="D16" s="61" t="n"/>
      <c r="E16" s="61" t="n"/>
      <c r="F16" s="61" t="n"/>
    </row>
    <row r="17">
      <c r="A17" s="53" t="inlineStr">
        <is>
          <t>Sentence:</t>
        </is>
      </c>
      <c r="B17" s="64" t="n"/>
      <c r="C17" s="61" t="n"/>
      <c r="D17" s="61" t="n"/>
      <c r="E17" s="61" t="n"/>
      <c r="F17" s="61" t="n"/>
    </row>
    <row r="19">
      <c r="A19" s="55" t="inlineStr">
        <is>
          <t>EVIDENCE DISPOSITION</t>
        </is>
      </c>
    </row>
    <row r="20">
      <c r="A20" s="53" t="inlineStr">
        <is>
          <t>Exhibits Returned:</t>
        </is>
      </c>
      <c r="B20" s="64" t="n"/>
      <c r="C20" s="61" t="n"/>
      <c r="D20" s="61" t="n"/>
      <c r="E20" s="61" t="n"/>
      <c r="F20" s="61" t="n"/>
    </row>
    <row r="21">
      <c r="A21" s="53" t="inlineStr">
        <is>
          <t>Exhibits Destroyed:</t>
        </is>
      </c>
      <c r="B21" s="64" t="n"/>
      <c r="C21" s="61" t="n"/>
      <c r="D21" s="61" t="n"/>
      <c r="E21" s="61" t="n"/>
      <c r="F21" s="61" t="n"/>
    </row>
    <row r="22">
      <c r="A22" s="53" t="inlineStr">
        <is>
          <t>Exhibits Retained:</t>
        </is>
      </c>
      <c r="B22" s="64" t="n"/>
      <c r="C22" s="61" t="n"/>
      <c r="D22" s="61" t="n"/>
      <c r="E22" s="61" t="n"/>
      <c r="F22" s="61" t="n"/>
    </row>
    <row r="24">
      <c r="A24" s="55" t="inlineStr">
        <is>
          <t>FINAL REMARKS</t>
        </is>
      </c>
    </row>
    <row r="28">
      <c r="A28" s="55" t="inlineStr">
        <is>
          <t>APPROVALS</t>
        </is>
      </c>
    </row>
    <row r="29">
      <c r="A29" s="53" t="inlineStr">
        <is>
          <t>Investigating Officer:</t>
        </is>
      </c>
      <c r="B29" s="64" t="n"/>
      <c r="C29" s="61" t="n"/>
      <c r="D29" s="61" t="n"/>
      <c r="E29" s="61" t="n"/>
      <c r="F29" s="61" t="n"/>
    </row>
    <row r="30">
      <c r="A30" s="53" t="inlineStr">
        <is>
          <t>Supervisor:</t>
        </is>
      </c>
      <c r="B30" s="64" t="n"/>
      <c r="C30" s="61" t="n"/>
      <c r="D30" s="61" t="n"/>
      <c r="E30" s="61" t="n"/>
      <c r="F30" s="61" t="n"/>
    </row>
    <row r="31">
      <c r="A31" s="53" t="inlineStr">
        <is>
          <t>Divisional Commander:</t>
        </is>
      </c>
      <c r="B31" s="64" t="n"/>
      <c r="C31" s="61" t="n"/>
      <c r="D31" s="61" t="n"/>
      <c r="E31" s="61" t="n"/>
      <c r="F31" s="61" t="n"/>
    </row>
    <row r="32">
      <c r="A32" s="53" t="inlineStr">
        <is>
          <t>Date:</t>
        </is>
      </c>
      <c r="B32" s="64" t="n"/>
      <c r="C32" s="61" t="n"/>
      <c r="D32" s="61" t="n"/>
      <c r="E32" s="61" t="n"/>
      <c r="F32" s="61" t="n"/>
    </row>
  </sheetData>
  <mergeCells count="25">
    <mergeCell ref="B4:F4"/>
    <mergeCell ref="B7:F7"/>
    <mergeCell ref="B16:F16"/>
    <mergeCell ref="B31:F31"/>
    <mergeCell ref="A12:F12"/>
    <mergeCell ref="B22:F22"/>
    <mergeCell ref="B21:F21"/>
    <mergeCell ref="A2:F2"/>
    <mergeCell ref="B14:F14"/>
    <mergeCell ref="B8:F8"/>
    <mergeCell ref="B17:F17"/>
    <mergeCell ref="B13:F13"/>
    <mergeCell ref="B29:F29"/>
    <mergeCell ref="A28:F28"/>
    <mergeCell ref="A19:F19"/>
    <mergeCell ref="B10:F10"/>
    <mergeCell ref="B9:F9"/>
    <mergeCell ref="A24:F24"/>
    <mergeCell ref="B30:F30"/>
    <mergeCell ref="B6:F6"/>
    <mergeCell ref="B20:F20"/>
    <mergeCell ref="B15:F15"/>
    <mergeCell ref="A1:F1"/>
    <mergeCell ref="B5:F5"/>
    <mergeCell ref="B32:F3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808080"/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1" t="inlineStr">
        <is>
          <t>FNID AREA 3 — CASE SUMMARY REPORT</t>
        </is>
      </c>
    </row>
    <row r="3">
      <c r="A3" s="53" t="inlineStr">
        <is>
          <t>Case ID:</t>
        </is>
      </c>
      <c r="B3" s="64" t="n"/>
      <c r="C3" s="61" t="n"/>
      <c r="D3" s="61" t="n"/>
      <c r="E3" s="61" t="n"/>
      <c r="F3" s="61" t="n"/>
    </row>
    <row r="4">
      <c r="A4" s="53" t="inlineStr">
        <is>
          <t>CR1 Number:</t>
        </is>
      </c>
      <c r="B4" s="64" t="n"/>
      <c r="C4" s="61" t="n"/>
      <c r="D4" s="61" t="n"/>
      <c r="E4" s="61" t="n"/>
      <c r="F4" s="61" t="n"/>
    </row>
    <row r="5">
      <c r="A5" s="53" t="inlineStr">
        <is>
          <t>CR2 Number:</t>
        </is>
      </c>
      <c r="B5" s="64" t="n"/>
      <c r="C5" s="61" t="n"/>
      <c r="D5" s="61" t="n"/>
      <c r="E5" s="61" t="n"/>
      <c r="F5" s="61" t="n"/>
    </row>
    <row r="6">
      <c r="A6" s="53" t="inlineStr">
        <is>
          <t>CR5 Number:</t>
        </is>
      </c>
      <c r="B6" s="64" t="n"/>
      <c r="C6" s="61" t="n"/>
      <c r="D6" s="61" t="n"/>
      <c r="E6" s="61" t="n"/>
      <c r="F6" s="61" t="n"/>
    </row>
    <row r="7">
      <c r="A7" s="53" t="inlineStr">
        <is>
          <t>Offence:</t>
        </is>
      </c>
      <c r="B7" s="64" t="n"/>
      <c r="C7" s="61" t="n"/>
      <c r="D7" s="61" t="n"/>
      <c r="E7" s="61" t="n"/>
      <c r="F7" s="61" t="n"/>
    </row>
    <row r="8">
      <c r="A8" s="53" t="inlineStr">
        <is>
          <t>Date:</t>
        </is>
      </c>
      <c r="B8" s="64" t="n"/>
      <c r="C8" s="61" t="n"/>
      <c r="D8" s="61" t="n"/>
      <c r="E8" s="61" t="n"/>
      <c r="F8" s="61" t="n"/>
    </row>
    <row r="9">
      <c r="A9" s="53" t="inlineStr">
        <is>
          <t>Parish/Station:</t>
        </is>
      </c>
      <c r="B9" s="64" t="n"/>
      <c r="C9" s="61" t="n"/>
      <c r="D9" s="61" t="n"/>
      <c r="E9" s="61" t="n"/>
      <c r="F9" s="61" t="n"/>
    </row>
    <row r="10">
      <c r="A10" s="53" t="inlineStr">
        <is>
          <t>Investigator:</t>
        </is>
      </c>
      <c r="B10" s="64" t="n"/>
      <c r="C10" s="61" t="n"/>
      <c r="D10" s="61" t="n"/>
      <c r="E10" s="61" t="n"/>
      <c r="F10" s="61" t="n"/>
    </row>
    <row r="11">
      <c r="A11" s="53" t="inlineStr">
        <is>
          <t>Status:</t>
        </is>
      </c>
      <c r="B11" s="64" t="n"/>
      <c r="C11" s="61" t="n"/>
      <c r="D11" s="61" t="n"/>
      <c r="E11" s="61" t="n"/>
      <c r="F11" s="61" t="n"/>
    </row>
    <row r="12">
      <c r="A12" s="53" t="inlineStr">
        <is>
          <t>Priority:</t>
        </is>
      </c>
      <c r="B12" s="64" t="n"/>
      <c r="C12" s="61" t="n"/>
      <c r="D12" s="61" t="n"/>
      <c r="E12" s="61" t="n"/>
      <c r="F12" s="61" t="n"/>
    </row>
    <row r="14">
      <c r="A14" s="55" t="inlineStr">
        <is>
          <t>CASE SYNOPSIS</t>
        </is>
      </c>
    </row>
    <row r="18">
      <c r="A18" s="55" t="inlineStr">
        <is>
          <t>KEY EVIDENCE</t>
        </is>
      </c>
    </row>
    <row r="21">
      <c r="A21" s="55" t="inlineStr">
        <is>
          <t>SUSPECTS</t>
        </is>
      </c>
    </row>
    <row r="24">
      <c r="A24" s="55" t="inlineStr">
        <is>
          <t>CURRENT STATUS &amp; NEXT STEPS</t>
        </is>
      </c>
    </row>
    <row r="27">
      <c r="A27" s="55" t="inlineStr">
        <is>
          <t>SUPERVISORY NOTES</t>
        </is>
      </c>
    </row>
    <row r="29">
      <c r="A29" s="53" t="inlineStr">
        <is>
          <t>Prepared By:</t>
        </is>
      </c>
      <c r="B29" s="64" t="n"/>
      <c r="C29" s="61" t="n"/>
      <c r="D29" s="61" t="n"/>
      <c r="E29" s="61" t="n"/>
      <c r="F29" s="61" t="n"/>
    </row>
    <row r="30">
      <c r="A30" s="53" t="inlineStr">
        <is>
          <t>Date:</t>
        </is>
      </c>
      <c r="B30" s="64" t="n"/>
      <c r="C30" s="61" t="n"/>
      <c r="D30" s="61" t="n"/>
      <c r="E30" s="61" t="n"/>
      <c r="F30" s="61" t="n"/>
    </row>
  </sheetData>
  <mergeCells count="18">
    <mergeCell ref="B4:F4"/>
    <mergeCell ref="A24:F24"/>
    <mergeCell ref="B30:F30"/>
    <mergeCell ref="B12:F12"/>
    <mergeCell ref="B7:F7"/>
    <mergeCell ref="B29:F29"/>
    <mergeCell ref="B6:F6"/>
    <mergeCell ref="A14:F14"/>
    <mergeCell ref="B10:F10"/>
    <mergeCell ref="A1:F1"/>
    <mergeCell ref="B11:F11"/>
    <mergeCell ref="B3:F3"/>
    <mergeCell ref="B5:F5"/>
    <mergeCell ref="A27:F27"/>
    <mergeCell ref="A18:F18"/>
    <mergeCell ref="B8:F8"/>
    <mergeCell ref="A21:F21"/>
    <mergeCell ref="B9:F9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7030A0"/>
    <outlinePr summaryBelow="1" summaryRight="1"/>
    <pageSetUpPr/>
  </sheetPr>
  <dimension ref="A1:X6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6" customWidth="1" min="5" max="5"/>
    <col width="16" customWidth="1" min="6" max="6"/>
    <col width="14" customWidth="1" min="7" max="7"/>
    <col width="14" customWidth="1" min="8" max="8"/>
    <col width="20" customWidth="1" min="9" max="9"/>
    <col width="18" customWidth="1" min="10" max="10"/>
    <col width="12" customWidth="1" min="11" max="11"/>
    <col width="16" customWidth="1" min="12" max="12"/>
    <col width="22" customWidth="1" min="13" max="13"/>
    <col width="20" customWidth="1" min="14" max="14"/>
    <col width="24" customWidth="1" min="15" max="15"/>
    <col width="14" customWidth="1" min="16" max="16"/>
    <col width="14" customWidth="1" min="17" max="17"/>
    <col width="16" customWidth="1" min="18" max="18"/>
    <col width="14" customWidth="1" min="19" max="19"/>
    <col width="2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3" t="inlineStr">
        <is>
          <t>PersonnelID</t>
        </is>
      </c>
      <c r="B1" s="13" t="inlineStr">
        <is>
          <t>FullName</t>
        </is>
      </c>
      <c r="C1" s="13" t="inlineStr">
        <is>
          <t>Rank</t>
        </is>
      </c>
      <c r="D1" s="13" t="inlineStr">
        <is>
          <t>BadgeNo</t>
        </is>
      </c>
      <c r="E1" s="13" t="inlineStr">
        <is>
          <t>Unit</t>
        </is>
      </c>
      <c r="F1" s="13" t="inlineStr">
        <is>
          <t>Station</t>
        </is>
      </c>
      <c r="G1" s="13" t="inlineStr">
        <is>
          <t>DateOfEnlistment</t>
        </is>
      </c>
      <c r="H1" s="13" t="inlineStr">
        <is>
          <t>DatePostedToFNID</t>
        </is>
      </c>
      <c r="I1" s="13" t="inlineStr">
        <is>
          <t>CurrentRole</t>
        </is>
      </c>
      <c r="J1" s="13" t="inlineStr">
        <is>
          <t>Specialization</t>
        </is>
      </c>
      <c r="K1" s="13" t="inlineStr">
        <is>
          <t>Status</t>
        </is>
      </c>
      <c r="L1" s="13" t="inlineStr">
        <is>
          <t>Phone</t>
        </is>
      </c>
      <c r="M1" s="13" t="inlineStr">
        <is>
          <t>Email</t>
        </is>
      </c>
      <c r="N1" s="13" t="inlineStr">
        <is>
          <t>EmergencyContact</t>
        </is>
      </c>
      <c r="O1" s="13" t="inlineStr">
        <is>
          <t>QualificationsHeld</t>
        </is>
      </c>
      <c r="P1" s="13" t="inlineStr">
        <is>
          <t>LastTrainingDate</t>
        </is>
      </c>
      <c r="Q1" s="13" t="inlineStr">
        <is>
          <t>NextTrainingDue</t>
        </is>
      </c>
      <c r="R1" s="13" t="inlineStr">
        <is>
          <t>PerformanceRating</t>
        </is>
      </c>
      <c r="S1" s="13" t="inlineStr">
        <is>
          <t>DisciplinaryFlag</t>
        </is>
      </c>
      <c r="T1" s="13" t="inlineStr">
        <is>
          <t>Notes</t>
        </is>
      </c>
      <c r="U1" s="13" t="inlineStr">
        <is>
          <t>CreatedBy</t>
        </is>
      </c>
      <c r="V1" s="13" t="inlineStr">
        <is>
          <t>CreatedDate</t>
        </is>
      </c>
      <c r="W1" s="13" t="inlineStr">
        <is>
          <t>LastUpdatedBy</t>
        </is>
      </c>
      <c r="X1" s="13" t="inlineStr">
        <is>
          <t>LastUpdatedDate</t>
        </is>
      </c>
    </row>
    <row r="2">
      <c r="A2" s="14">
        <f>IF(B2="","","STAFF-"&amp;TEXT(ROW()-1,"0000"))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</row>
    <row r="3">
      <c r="A3" s="14">
        <f>IF(B3="","","STAFF-"&amp;TEXT(ROW()-1,"0000"))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</row>
    <row r="4">
      <c r="A4" s="14">
        <f>IF(B4="","","STAFF-"&amp;TEXT(ROW()-1,"0000"))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</row>
    <row r="5">
      <c r="A5" s="14">
        <f>IF(B5="","","STAFF-"&amp;TEXT(ROW()-1,"0000"))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</row>
    <row r="6">
      <c r="A6" s="14">
        <f>IF(B6="","","STAFF-"&amp;TEXT(ROW()-1,"0000"))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</row>
  </sheetData>
  <conditionalFormatting sqref="Q2:Q1000">
    <cfRule type="expression" priority="1" dxfId="0">
      <formula>=AND(Q2&lt;&gt;"",Q2&lt;TODAY())</formula>
    </cfRule>
  </conditionalFormatting>
  <dataValidations count="3">
    <dataValidation sqref="C2:C1000" showDropDown="0" showInputMessage="0" showErrorMessage="0" allowBlank="1" errorTitle="Invalid Entry" error="Please select from the list." type="list">
      <formula1>=Lookups!$Q$2:$Q$11</formula1>
    </dataValidation>
    <dataValidation sqref="E2:E1000" showDropDown="0" showInputMessage="0" showErrorMessage="0" allowBlank="1" errorTitle="Invalid Entry" error="Please select from the list." type="list">
      <formula1>=Lookups!$E$2:$E$11</formula1>
    </dataValidation>
    <dataValidation sqref="K2:K1000" showDropDown="0" showInputMessage="0" showErrorMessage="0" allowBlank="1" errorTitle="Invalid Entry" error="Please select from the list." type="list">
      <formula1>=Lookups!$AC$2:$AC$8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7.xml><?xml version="1.0" encoding="utf-8"?>
<worksheet xmlns="http://schemas.openxmlformats.org/spreadsheetml/2006/main">
  <sheetPr>
    <tabColor rgb="00548235"/>
    <outlinePr summaryBelow="1" summaryRight="1"/>
    <pageSetUpPr/>
  </sheetPr>
  <dimension ref="A1:X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4" customWidth="1" min="3" max="3"/>
    <col width="18" customWidth="1" min="4" max="4"/>
    <col width="18" customWidth="1" min="5" max="5"/>
    <col width="20" customWidth="1" min="6" max="6"/>
    <col width="12" customWidth="1" min="7" max="7"/>
    <col width="10" customWidth="1" min="8" max="8"/>
    <col width="30" customWidth="1" min="9" max="9"/>
    <col width="14" customWidth="1" min="10" max="10"/>
    <col width="14" customWidth="1" min="11" max="11"/>
    <col width="14" customWidth="1" min="12" max="12"/>
    <col width="12" customWidth="1" min="13" max="13"/>
    <col width="16" customWidth="1" min="14" max="14"/>
    <col width="24" customWidth="1" min="15" max="15"/>
    <col width="24" customWidth="1" min="16" max="16"/>
    <col width="14" customWidth="1" min="17" max="17"/>
    <col width="14" customWidth="1" min="18" max="18"/>
    <col width="14" customWidth="1" min="19" max="19"/>
    <col width="14" customWidth="1" min="20" max="20"/>
    <col width="8" customWidth="1" min="21" max="21"/>
    <col width="8" customWidth="1" min="22" max="22"/>
    <col width="8" customWidth="1" min="23" max="23"/>
    <col width="8" customWidth="1" min="24" max="24"/>
  </cols>
  <sheetData>
    <row r="1">
      <c r="A1" s="13" t="inlineStr">
        <is>
          <t>TrainingID</t>
        </is>
      </c>
      <c r="B1" s="13" t="inlineStr">
        <is>
          <t>Date</t>
        </is>
      </c>
      <c r="C1" s="13" t="inlineStr">
        <is>
          <t>CourseTitle</t>
        </is>
      </c>
      <c r="D1" s="13" t="inlineStr">
        <is>
          <t>TrainingType</t>
        </is>
      </c>
      <c r="E1" s="13" t="inlineStr">
        <is>
          <t>Trainer</t>
        </is>
      </c>
      <c r="F1" s="13" t="inlineStr">
        <is>
          <t>Location</t>
        </is>
      </c>
      <c r="G1" s="13" t="inlineStr">
        <is>
          <t>Duration_Hrs</t>
        </is>
      </c>
      <c r="H1" s="13" t="inlineStr">
        <is>
          <t>Attendees</t>
        </is>
      </c>
      <c r="I1" s="13" t="inlineStr">
        <is>
          <t>AttendeeNames</t>
        </is>
      </c>
      <c r="J1" s="13" t="inlineStr">
        <is>
          <t>CertificateIssued</t>
        </is>
      </c>
      <c r="K1" s="13" t="inlineStr">
        <is>
          <t>ExpiryDate</t>
        </is>
      </c>
      <c r="L1" s="13" t="inlineStr">
        <is>
          <t>LinkedUnit</t>
        </is>
      </c>
      <c r="M1" s="13" t="inlineStr">
        <is>
          <t>CostJMD</t>
        </is>
      </c>
      <c r="N1" s="13" t="inlineStr">
        <is>
          <t>FundingSource</t>
        </is>
      </c>
      <c r="O1" s="13" t="inlineStr">
        <is>
          <t>Outcome</t>
        </is>
      </c>
      <c r="P1" s="13" t="inlineStr">
        <is>
          <t>Notes</t>
        </is>
      </c>
      <c r="Q1" s="13" t="inlineStr">
        <is>
          <t>CreatedBy</t>
        </is>
      </c>
      <c r="R1" s="13" t="inlineStr">
        <is>
          <t>CreatedDate</t>
        </is>
      </c>
      <c r="S1" s="13" t="inlineStr">
        <is>
          <t>LastUpdatedBy</t>
        </is>
      </c>
      <c r="T1" s="13" t="inlineStr">
        <is>
          <t>LastUpdatedDate</t>
        </is>
      </c>
      <c r="U1" s="13" t="inlineStr">
        <is>
          <t>Week</t>
        </is>
      </c>
      <c r="V1" s="13" t="inlineStr">
        <is>
          <t>Month</t>
        </is>
      </c>
      <c r="W1" s="13" t="inlineStr">
        <is>
          <t>Quarter</t>
        </is>
      </c>
      <c r="X1" s="13" t="inlineStr">
        <is>
          <t>Year</t>
        </is>
      </c>
    </row>
    <row r="2">
      <c r="A2" s="14">
        <f>IF(B2="","","TRN-"&amp;TEXT(ROW()-1,"0000"))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>
        <f>IF(B2="","",WEEKNUM(B2))</f>
        <v/>
      </c>
      <c r="V2" s="14">
        <f>IF(B2="","",MONTH(B2))</f>
        <v/>
      </c>
      <c r="W2" s="14">
        <f>IF(B2="","",ROUNDUP(MONTH(B2)/3,0))</f>
        <v/>
      </c>
      <c r="X2" s="14">
        <f>IF(B2="","",YEAR(B2))</f>
        <v/>
      </c>
    </row>
    <row r="3">
      <c r="A3" s="14">
        <f>IF(B3="","","TRN-"&amp;TEXT(ROW()-1,"0000"))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>
        <f>IF(B3="","",WEEKNUM(B3))</f>
        <v/>
      </c>
      <c r="V3" s="14">
        <f>IF(B3="","",MONTH(B3))</f>
        <v/>
      </c>
      <c r="W3" s="14">
        <f>IF(B3="","",ROUNDUP(MONTH(B3)/3,0))</f>
        <v/>
      </c>
      <c r="X3" s="14">
        <f>IF(B3="","",YEAR(B3))</f>
        <v/>
      </c>
    </row>
    <row r="4">
      <c r="A4" s="14">
        <f>IF(B4="","","TRN-"&amp;TEXT(ROW()-1,"0000"))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>
        <f>IF(B4="","",WEEKNUM(B4))</f>
        <v/>
      </c>
      <c r="V4" s="14">
        <f>IF(B4="","",MONTH(B4))</f>
        <v/>
      </c>
      <c r="W4" s="14">
        <f>IF(B4="","",ROUNDUP(MONTH(B4)/3,0))</f>
        <v/>
      </c>
      <c r="X4" s="14">
        <f>IF(B4="","",YEAR(B4))</f>
        <v/>
      </c>
    </row>
    <row r="5">
      <c r="A5" s="14">
        <f>IF(B5="","","TRN-"&amp;TEXT(ROW()-1,"0000"))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>
        <f>IF(B5="","",WEEKNUM(B5))</f>
        <v/>
      </c>
      <c r="V5" s="14">
        <f>IF(B5="","",MONTH(B5))</f>
        <v/>
      </c>
      <c r="W5" s="14">
        <f>IF(B5="","",ROUNDUP(MONTH(B5)/3,0))</f>
        <v/>
      </c>
      <c r="X5" s="14">
        <f>IF(B5="","",YEAR(B5))</f>
        <v/>
      </c>
    </row>
    <row r="6">
      <c r="A6" s="14">
        <f>IF(B6="","","TRN-"&amp;TEXT(ROW()-1,"0000"))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>
        <f>IF(B6="","",WEEKNUM(B6))</f>
        <v/>
      </c>
      <c r="V6" s="14">
        <f>IF(B6="","",MONTH(B6))</f>
        <v/>
      </c>
      <c r="W6" s="14">
        <f>IF(B6="","",ROUNDUP(MONTH(B6)/3,0))</f>
        <v/>
      </c>
      <c r="X6" s="14">
        <f>IF(B6="","",YEAR(B6))</f>
        <v/>
      </c>
    </row>
  </sheetData>
  <dataValidations count="2">
    <dataValidation sqref="L2:L1000" showDropDown="0" showInputMessage="0" showErrorMessage="0" allowBlank="1" errorTitle="Invalid Entry" error="Please select from the list." type="list">
      <formula1>=Lookups!$E$2:$E$11</formula1>
    </dataValidation>
    <dataValidation sqref="J2:J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8.xml><?xml version="1.0" encoding="utf-8"?>
<worksheet xmlns="http://schemas.openxmlformats.org/spreadsheetml/2006/main">
  <sheetPr>
    <tabColor rgb="001F3864"/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4" customWidth="1" min="4" max="4"/>
    <col width="14" customWidth="1" min="5" max="5"/>
    <col width="12" customWidth="1" min="6" max="6"/>
    <col width="16" customWidth="1" min="7" max="7"/>
    <col width="20" customWidth="1" min="8" max="8"/>
    <col width="18" customWidth="1" min="9" max="9"/>
    <col width="18" customWidth="1" min="10" max="10"/>
    <col width="20" customWidth="1" min="11" max="11"/>
    <col width="28" customWidth="1" min="12" max="12"/>
    <col width="20" customWidth="1" min="13" max="13"/>
    <col width="14" customWidth="1" min="14" max="14"/>
    <col width="18" customWidth="1" min="15" max="15"/>
    <col width="18" customWidth="1" min="16" max="16"/>
    <col width="2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6" customWidth="1" min="22" max="22"/>
    <col width="20" customWidth="1" min="23" max="23"/>
    <col width="14" customWidth="1" min="24" max="24"/>
    <col width="24" customWidth="1" min="25" max="25"/>
    <col width="14" customWidth="1" min="26" max="26"/>
    <col width="14" customWidth="1" min="27" max="27"/>
    <col width="14" customWidth="1" min="28" max="28"/>
    <col width="14" customWidth="1" min="29" max="29"/>
    <col width="8" customWidth="1" min="30" max="30"/>
    <col width="8" customWidth="1" min="31" max="31"/>
    <col width="8" customWidth="1" min="32" max="32"/>
    <col width="8" customWidth="1" min="33" max="33"/>
  </cols>
  <sheetData>
    <row r="1">
      <c r="A1" s="13" t="inlineStr">
        <is>
          <t>CourtID</t>
        </is>
      </c>
      <c r="B1" s="13" t="inlineStr">
        <is>
          <t>LinkedCaseID</t>
        </is>
      </c>
      <c r="C1" s="13" t="inlineStr">
        <is>
          <t>CourtName</t>
        </is>
      </c>
      <c r="D1" s="13" t="inlineStr">
        <is>
          <t>CourtType</t>
        </is>
      </c>
      <c r="E1" s="13" t="inlineStr">
        <is>
          <t>HearingDate</t>
        </is>
      </c>
      <c r="F1" s="13" t="inlineStr">
        <is>
          <t>HearingTime</t>
        </is>
      </c>
      <c r="G1" s="13" t="inlineStr">
        <is>
          <t>HearingType</t>
        </is>
      </c>
      <c r="H1" s="13" t="inlineStr">
        <is>
          <t>JudgeMagistrate</t>
        </is>
      </c>
      <c r="I1" s="13" t="inlineStr">
        <is>
          <t>Prosecutor</t>
        </is>
      </c>
      <c r="J1" s="13" t="inlineStr">
        <is>
          <t>DefenseAttorney</t>
        </is>
      </c>
      <c r="K1" s="13" t="inlineStr">
        <is>
          <t>Defendant</t>
        </is>
      </c>
      <c r="L1" s="13" t="inlineStr">
        <is>
          <t>ChargesSummary</t>
        </is>
      </c>
      <c r="M1" s="13" t="inlineStr">
        <is>
          <t>WitnessesRequired</t>
        </is>
      </c>
      <c r="N1" s="13" t="inlineStr">
        <is>
          <t>WitnessesAttended</t>
        </is>
      </c>
      <c r="O1" s="13" t="inlineStr">
        <is>
          <t>ExhibitsRequired</t>
        </is>
      </c>
      <c r="P1" s="13" t="inlineStr">
        <is>
          <t>Outcome</t>
        </is>
      </c>
      <c r="Q1" s="13" t="inlineStr">
        <is>
          <t>AdjournmentReason</t>
        </is>
      </c>
      <c r="R1" s="13" t="inlineStr">
        <is>
          <t>NextHearingDate</t>
        </is>
      </c>
      <c r="S1" s="13" t="inlineStr">
        <is>
          <t>BailStatus</t>
        </is>
      </c>
      <c r="T1" s="13" t="inlineStr">
        <is>
          <t>BailAmount</t>
        </is>
      </c>
      <c r="U1" s="13" t="inlineStr">
        <is>
          <t>RemandStatus</t>
        </is>
      </c>
      <c r="V1" s="13" t="inlineStr">
        <is>
          <t>Verdict</t>
        </is>
      </c>
      <c r="W1" s="13" t="inlineStr">
        <is>
          <t>Sentence</t>
        </is>
      </c>
      <c r="X1" s="13" t="inlineStr">
        <is>
          <t>SentenceDate</t>
        </is>
      </c>
      <c r="Y1" s="13" t="inlineStr">
        <is>
          <t>Notes</t>
        </is>
      </c>
      <c r="Z1" s="13" t="inlineStr">
        <is>
          <t>CreatedBy</t>
        </is>
      </c>
      <c r="AA1" s="13" t="inlineStr">
        <is>
          <t>CreatedDate</t>
        </is>
      </c>
      <c r="AB1" s="13" t="inlineStr">
        <is>
          <t>LastUpdatedBy</t>
        </is>
      </c>
      <c r="AC1" s="13" t="inlineStr">
        <is>
          <t>LastUpdatedDate</t>
        </is>
      </c>
      <c r="AD1" s="13" t="inlineStr">
        <is>
          <t>Week</t>
        </is>
      </c>
      <c r="AE1" s="13" t="inlineStr">
        <is>
          <t>Month</t>
        </is>
      </c>
      <c r="AF1" s="13" t="inlineStr">
        <is>
          <t>Quarter</t>
        </is>
      </c>
      <c r="AG1" s="13" t="inlineStr">
        <is>
          <t>Year</t>
        </is>
      </c>
    </row>
    <row r="2">
      <c r="A2" s="14">
        <f>IF(B2="","","CRT-"&amp;TEXT(ROW()-1,"0000"))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>
        <f>IF(E2="","",WEEKNUM(E2))</f>
        <v/>
      </c>
      <c r="AE2" s="14">
        <f>IF(E2="","",MONTH(E2))</f>
        <v/>
      </c>
      <c r="AF2" s="14">
        <f>IF(E2="","",ROUNDUP(MONTH(E2)/3,0))</f>
        <v/>
      </c>
      <c r="AG2" s="14">
        <f>IF(E2="","",YEAR(E2))</f>
        <v/>
      </c>
    </row>
    <row r="3">
      <c r="A3" s="14">
        <f>IF(B3="","","CRT-"&amp;TEXT(ROW()-1,"0000"))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>
        <f>IF(E3="","",WEEKNUM(E3))</f>
        <v/>
      </c>
      <c r="AE3" s="14">
        <f>IF(E3="","",MONTH(E3))</f>
        <v/>
      </c>
      <c r="AF3" s="14">
        <f>IF(E3="","",ROUNDUP(MONTH(E3)/3,0))</f>
        <v/>
      </c>
      <c r="AG3" s="14">
        <f>IF(E3="","",YEAR(E3))</f>
        <v/>
      </c>
    </row>
    <row r="4">
      <c r="A4" s="14">
        <f>IF(B4="","","CRT-"&amp;TEXT(ROW()-1,"0000"))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>
        <f>IF(E4="","",WEEKNUM(E4))</f>
        <v/>
      </c>
      <c r="AE4" s="14">
        <f>IF(E4="","",MONTH(E4))</f>
        <v/>
      </c>
      <c r="AF4" s="14">
        <f>IF(E4="","",ROUNDUP(MONTH(E4)/3,0))</f>
        <v/>
      </c>
      <c r="AG4" s="14">
        <f>IF(E4="","",YEAR(E4))</f>
        <v/>
      </c>
    </row>
    <row r="5">
      <c r="A5" s="14">
        <f>IF(B5="","","CRT-"&amp;TEXT(ROW()-1,"0000"))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>
        <f>IF(E5="","",WEEKNUM(E5))</f>
        <v/>
      </c>
      <c r="AE5" s="14">
        <f>IF(E5="","",MONTH(E5))</f>
        <v/>
      </c>
      <c r="AF5" s="14">
        <f>IF(E5="","",ROUNDUP(MONTH(E5)/3,0))</f>
        <v/>
      </c>
      <c r="AG5" s="14">
        <f>IF(E5="","",YEAR(E5))</f>
        <v/>
      </c>
    </row>
    <row r="6">
      <c r="A6" s="14">
        <f>IF(B6="","","CRT-"&amp;TEXT(ROW()-1,"0000"))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>
        <f>IF(E6="","",WEEKNUM(E6))</f>
        <v/>
      </c>
      <c r="AE6" s="14">
        <f>IF(E6="","",MONTH(E6))</f>
        <v/>
      </c>
      <c r="AF6" s="14">
        <f>IF(E6="","",ROUNDUP(MONTH(E6)/3,0))</f>
        <v/>
      </c>
      <c r="AG6" s="14">
        <f>IF(E6="","",YEAR(E6))</f>
        <v/>
      </c>
    </row>
  </sheetData>
  <conditionalFormatting sqref="E2:E1000">
    <cfRule type="expression" priority="1" dxfId="1">
      <formula>=AND(E2&lt;&gt;"",E2&gt;=TODAY(),E2&lt;=TODAY()+7)</formula>
    </cfRule>
    <cfRule type="expression" priority="2" dxfId="0">
      <formula>=AND(E2&lt;&gt;"",E2&lt;TODAY(),P2="")</formula>
    </cfRule>
  </conditionalFormatting>
  <dataValidations count="2">
    <dataValidation sqref="G2:G1000" showDropDown="0" showInputMessage="0" showErrorMessage="0" allowBlank="1" errorTitle="Invalid Entry" error="Please select from the list." type="list">
      <formula1>=Lookups!$X$2:$X$8</formula1>
    </dataValidation>
    <dataValidation sqref="S2:S1000" showDropDown="0" showInputMessage="0" showErrorMessage="0" allowBlank="1" errorTitle="Invalid Entry" error="Please select from the list." type="list">
      <formula1>=Lookups!$AB$2:$AB$6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9.xml><?xml version="1.0" encoding="utf-8"?>
<worksheet xmlns="http://schemas.openxmlformats.org/spreadsheetml/2006/main">
  <sheetPr>
    <tabColor rgb="00C00000"/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2" customWidth="1" min="5" max="5"/>
    <col width="22" customWidth="1" min="6" max="6"/>
    <col width="16" customWidth="1" min="7" max="7"/>
    <col width="16" customWidth="1" min="8" max="8"/>
    <col width="22" customWidth="1" min="9" max="9"/>
    <col width="14" customWidth="1" min="10" max="10"/>
    <col width="24" customWidth="1" min="11" max="11"/>
    <col width="10" customWidth="1" min="12" max="12"/>
    <col width="28" customWidth="1" min="13" max="13"/>
    <col width="22" customWidth="1" min="14" max="14"/>
    <col width="20" customWidth="1" min="15" max="15"/>
    <col width="16" customWidth="1" min="16" max="16"/>
    <col width="12" customWidth="1" min="17" max="17"/>
    <col width="12" customWidth="1" min="18" max="18"/>
    <col width="12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24" customWidth="1" min="25" max="25"/>
    <col width="14" customWidth="1" min="26" max="26"/>
    <col width="14" customWidth="1" min="27" max="27"/>
    <col width="14" customWidth="1" min="28" max="28"/>
    <col width="14" customWidth="1" min="29" max="29"/>
    <col width="8" customWidth="1" min="30" max="30"/>
    <col width="8" customWidth="1" min="31" max="31"/>
    <col width="8" customWidth="1" min="32" max="32"/>
    <col width="8" customWidth="1" min="33" max="33"/>
  </cols>
  <sheetData>
    <row r="1">
      <c r="A1" s="13" t="inlineStr">
        <is>
          <t>ArrestID</t>
        </is>
      </c>
      <c r="B1" s="13" t="inlineStr">
        <is>
          <t>LinkedOpsID</t>
        </is>
      </c>
      <c r="C1" s="13" t="inlineStr">
        <is>
          <t>LinkedCaseID</t>
        </is>
      </c>
      <c r="D1" s="13" t="inlineStr">
        <is>
          <t>ArrestDate</t>
        </is>
      </c>
      <c r="E1" s="13" t="inlineStr">
        <is>
          <t>ArrestTime</t>
        </is>
      </c>
      <c r="F1" s="13" t="inlineStr">
        <is>
          <t>ArrestLocation</t>
        </is>
      </c>
      <c r="G1" s="13" t="inlineStr">
        <is>
          <t>Parish</t>
        </is>
      </c>
      <c r="H1" s="13" t="inlineStr">
        <is>
          <t>Station</t>
        </is>
      </c>
      <c r="I1" s="13" t="inlineStr">
        <is>
          <t>SuspectName</t>
        </is>
      </c>
      <c r="J1" s="13" t="inlineStr">
        <is>
          <t>SuspectDOB</t>
        </is>
      </c>
      <c r="K1" s="13" t="inlineStr">
        <is>
          <t>SuspectAddress</t>
        </is>
      </c>
      <c r="L1" s="13" t="inlineStr">
        <is>
          <t>SuspectGender</t>
        </is>
      </c>
      <c r="M1" s="13" t="inlineStr">
        <is>
          <t>ChargeDescription</t>
        </is>
      </c>
      <c r="N1" s="13" t="inlineStr">
        <is>
          <t>OffenceType</t>
        </is>
      </c>
      <c r="O1" s="13" t="inlineStr">
        <is>
          <t>ArrestingOfficer</t>
        </is>
      </c>
      <c r="P1" s="13" t="inlineStr">
        <is>
          <t>ArrestingOfficerBadge</t>
        </is>
      </c>
      <c r="Q1" s="13" t="inlineStr">
        <is>
          <t>CautionGiven</t>
        </is>
      </c>
      <c r="R1" s="13" t="inlineStr">
        <is>
          <t>RightsRead</t>
        </is>
      </c>
      <c r="S1" s="13" t="inlineStr">
        <is>
          <t>BailGranted</t>
        </is>
      </c>
      <c r="T1" s="13" t="inlineStr">
        <is>
          <t>BailAmount</t>
        </is>
      </c>
      <c r="U1" s="13" t="inlineStr">
        <is>
          <t>RemandFacility</t>
        </is>
      </c>
      <c r="V1" s="13" t="inlineStr">
        <is>
          <t>RemandDate</t>
        </is>
      </c>
      <c r="W1" s="13" t="inlineStr">
        <is>
          <t>CourtDate</t>
        </is>
      </c>
      <c r="X1" s="13" t="inlineStr">
        <is>
          <t>Status</t>
        </is>
      </c>
      <c r="Y1" s="13" t="inlineStr">
        <is>
          <t>Notes</t>
        </is>
      </c>
      <c r="Z1" s="13" t="inlineStr">
        <is>
          <t>CreatedBy</t>
        </is>
      </c>
      <c r="AA1" s="13" t="inlineStr">
        <is>
          <t>CreatedDate</t>
        </is>
      </c>
      <c r="AB1" s="13" t="inlineStr">
        <is>
          <t>LastUpdatedBy</t>
        </is>
      </c>
      <c r="AC1" s="13" t="inlineStr">
        <is>
          <t>LastUpdatedDate</t>
        </is>
      </c>
      <c r="AD1" s="13" t="inlineStr">
        <is>
          <t>Week</t>
        </is>
      </c>
      <c r="AE1" s="13" t="inlineStr">
        <is>
          <t>Month</t>
        </is>
      </c>
      <c r="AF1" s="13" t="inlineStr">
        <is>
          <t>Quarter</t>
        </is>
      </c>
      <c r="AG1" s="13" t="inlineStr">
        <is>
          <t>Year</t>
        </is>
      </c>
    </row>
    <row r="2">
      <c r="A2" s="14">
        <f>IF(B2="","","ARR-"&amp;TEXT(ROW()-1,"0000"))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>
        <f>IF(D2="","",WEEKNUM(D2))</f>
        <v/>
      </c>
      <c r="AE2" s="14">
        <f>IF(D2="","",MONTH(D2))</f>
        <v/>
      </c>
      <c r="AF2" s="14">
        <f>IF(D2="","",ROUNDUP(MONTH(D2)/3,0))</f>
        <v/>
      </c>
      <c r="AG2" s="14">
        <f>IF(D2="","",YEAR(D2))</f>
        <v/>
      </c>
    </row>
    <row r="3">
      <c r="A3" s="14">
        <f>IF(B3="","","ARR-"&amp;TEXT(ROW()-1,"0000"))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>
        <f>IF(D3="","",WEEKNUM(D3))</f>
        <v/>
      </c>
      <c r="AE3" s="14">
        <f>IF(D3="","",MONTH(D3))</f>
        <v/>
      </c>
      <c r="AF3" s="14">
        <f>IF(D3="","",ROUNDUP(MONTH(D3)/3,0))</f>
        <v/>
      </c>
      <c r="AG3" s="14">
        <f>IF(D3="","",YEAR(D3))</f>
        <v/>
      </c>
    </row>
    <row r="4">
      <c r="A4" s="14">
        <f>IF(B4="","","ARR-"&amp;TEXT(ROW()-1,"0000"))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>
        <f>IF(D4="","",WEEKNUM(D4))</f>
        <v/>
      </c>
      <c r="AE4" s="14">
        <f>IF(D4="","",MONTH(D4))</f>
        <v/>
      </c>
      <c r="AF4" s="14">
        <f>IF(D4="","",ROUNDUP(MONTH(D4)/3,0))</f>
        <v/>
      </c>
      <c r="AG4" s="14">
        <f>IF(D4="","",YEAR(D4))</f>
        <v/>
      </c>
    </row>
    <row r="5">
      <c r="A5" s="14">
        <f>IF(B5="","","ARR-"&amp;TEXT(ROW()-1,"0000"))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>
        <f>IF(D5="","",WEEKNUM(D5))</f>
        <v/>
      </c>
      <c r="AE5" s="14">
        <f>IF(D5="","",MONTH(D5))</f>
        <v/>
      </c>
      <c r="AF5" s="14">
        <f>IF(D5="","",ROUNDUP(MONTH(D5)/3,0))</f>
        <v/>
      </c>
      <c r="AG5" s="14">
        <f>IF(D5="","",YEAR(D5))</f>
        <v/>
      </c>
    </row>
    <row r="6">
      <c r="A6" s="14">
        <f>IF(B6="","","ARR-"&amp;TEXT(ROW()-1,"0000"))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>
        <f>IF(D6="","",WEEKNUM(D6))</f>
        <v/>
      </c>
      <c r="AE6" s="14">
        <f>IF(D6="","",MONTH(D6))</f>
        <v/>
      </c>
      <c r="AF6" s="14">
        <f>IF(D6="","",ROUNDUP(MONTH(D6)/3,0))</f>
        <v/>
      </c>
      <c r="AG6" s="14">
        <f>IF(D6="","",YEAR(D6))</f>
        <v/>
      </c>
    </row>
  </sheetData>
  <dataValidations count="5">
    <dataValidation sqref="G2:G1000" showDropDown="0" showInputMessage="0" showErrorMessage="0" allowBlank="1" errorTitle="Invalid Entry" error="Please select from the list." type="list">
      <formula1>=Lookups!$D$2:$D$16</formula1>
    </dataValidation>
    <dataValidation sqref="N2:N1000" showDropDown="0" showInputMessage="0" showErrorMessage="0" allowBlank="1" errorTitle="Invalid Entry" error="Please select from the list." type="list">
      <formula1>=Lookups!$C$2:$C$22</formula1>
    </dataValidation>
    <dataValidation sqref="Q2:Q1000" showDropDown="0" showInputMessage="0" showErrorMessage="0" allowBlank="1" errorTitle="Invalid Entry" error="Please select from the list." type="list">
      <formula1>=Lookups!$I$2:$I$3</formula1>
    </dataValidation>
    <dataValidation sqref="R2:R1000" showDropDown="0" showInputMessage="0" showErrorMessage="0" allowBlank="1" errorTitle="Invalid Entry" error="Please select from the list." type="list">
      <formula1>=Lookups!$I$2:$I$3</formula1>
    </dataValidation>
    <dataValidation sqref="S2:S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0.xml><?xml version="1.0" encoding="utf-8"?>
<worksheet xmlns="http://schemas.openxmlformats.org/spreadsheetml/2006/main">
  <sheetPr>
    <tabColor rgb="00C00000"/>
    <outlinePr summaryBelow="1" summaryRight="1"/>
    <pageSetUpPr/>
  </sheetPr>
  <dimension ref="A1:AC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2" customWidth="1" min="6" max="6"/>
    <col width="16" customWidth="1" min="7" max="7"/>
    <col width="18" customWidth="1" min="8" max="8"/>
    <col width="28" customWidth="1" min="9" max="9"/>
    <col width="10" customWidth="1" min="10" max="10"/>
    <col width="12" customWidth="1" min="11" max="11"/>
    <col width="16" customWidth="1" min="12" max="12"/>
    <col width="14" customWidth="1" min="13" max="13"/>
    <col width="14" customWidth="1" min="14" max="14"/>
    <col width="12" customWidth="1" min="15" max="15"/>
    <col width="14" customWidth="1" min="16" max="16"/>
    <col width="14" customWidth="1" min="17" max="17"/>
    <col width="14" customWidth="1" min="18" max="18"/>
    <col width="18" customWidth="1" min="19" max="19"/>
    <col width="18" customWidth="1" min="20" max="20"/>
    <col width="24" customWidth="1" min="21" max="21"/>
    <col width="14" customWidth="1" min="22" max="22"/>
    <col width="14" customWidth="1" min="23" max="23"/>
    <col width="14" customWidth="1" min="24" max="24"/>
    <col width="14" customWidth="1" min="25" max="25"/>
    <col width="8" customWidth="1" min="26" max="26"/>
    <col width="8" customWidth="1" min="27" max="27"/>
    <col width="8" customWidth="1" min="28" max="28"/>
    <col width="8" customWidth="1" min="29" max="29"/>
  </cols>
  <sheetData>
    <row r="1">
      <c r="A1" s="13" t="inlineStr">
        <is>
          <t>SeizureID</t>
        </is>
      </c>
      <c r="B1" s="13" t="inlineStr">
        <is>
          <t>LinkedOpsID</t>
        </is>
      </c>
      <c r="C1" s="13" t="inlineStr">
        <is>
          <t>LinkedCaseID</t>
        </is>
      </c>
      <c r="D1" s="13" t="inlineStr">
        <is>
          <t>LinkedArrestID</t>
        </is>
      </c>
      <c r="E1" s="13" t="inlineStr">
        <is>
          <t>SeizureDate</t>
        </is>
      </c>
      <c r="F1" s="13" t="inlineStr">
        <is>
          <t>SeizureLocation</t>
        </is>
      </c>
      <c r="G1" s="13" t="inlineStr">
        <is>
          <t>Parish</t>
        </is>
      </c>
      <c r="H1" s="13" t="inlineStr">
        <is>
          <t>ItemType</t>
        </is>
      </c>
      <c r="I1" s="13" t="inlineStr">
        <is>
          <t>ItemDescription</t>
        </is>
      </c>
      <c r="J1" s="13" t="inlineStr">
        <is>
          <t>Quantity</t>
        </is>
      </c>
      <c r="K1" s="13" t="inlineStr">
        <is>
          <t>UnitMeasure</t>
        </is>
      </c>
      <c r="L1" s="13" t="inlineStr">
        <is>
          <t>SerialNumber</t>
        </is>
      </c>
      <c r="M1" s="13" t="inlineStr">
        <is>
          <t>Make</t>
        </is>
      </c>
      <c r="N1" s="13" t="inlineStr">
        <is>
          <t>Model</t>
        </is>
      </c>
      <c r="O1" s="13" t="inlineStr">
        <is>
          <t>Calibre</t>
        </is>
      </c>
      <c r="P1" s="13" t="inlineStr">
        <is>
          <t>EstimatedValue</t>
        </is>
      </c>
      <c r="Q1" s="13" t="inlineStr">
        <is>
          <t>LinkedExhibitID</t>
        </is>
      </c>
      <c r="R1" s="13" t="inlineStr">
        <is>
          <t>PhotoRef</t>
        </is>
      </c>
      <c r="S1" s="13" t="inlineStr">
        <is>
          <t>SeizedBy</t>
        </is>
      </c>
      <c r="T1" s="13" t="inlineStr">
        <is>
          <t>WitnessPresent</t>
        </is>
      </c>
      <c r="U1" s="13" t="inlineStr">
        <is>
          <t>Notes</t>
        </is>
      </c>
      <c r="V1" s="13" t="inlineStr">
        <is>
          <t>CreatedBy</t>
        </is>
      </c>
      <c r="W1" s="13" t="inlineStr">
        <is>
          <t>CreatedDate</t>
        </is>
      </c>
      <c r="X1" s="13" t="inlineStr">
        <is>
          <t>LastUpdatedBy</t>
        </is>
      </c>
      <c r="Y1" s="13" t="inlineStr">
        <is>
          <t>LastUpdatedDate</t>
        </is>
      </c>
      <c r="Z1" s="13" t="inlineStr">
        <is>
          <t>Week</t>
        </is>
      </c>
      <c r="AA1" s="13" t="inlineStr">
        <is>
          <t>Month</t>
        </is>
      </c>
      <c r="AB1" s="13" t="inlineStr">
        <is>
          <t>Quarter</t>
        </is>
      </c>
      <c r="AC1" s="13" t="inlineStr">
        <is>
          <t>Year</t>
        </is>
      </c>
    </row>
    <row r="2">
      <c r="A2" s="14">
        <f>IF(B2="","","SEZ-"&amp;TEXT(ROW()-1,"0000"))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>
        <f>IF(E2="","",WEEKNUM(E2))</f>
        <v/>
      </c>
      <c r="AA2" s="14">
        <f>IF(E2="","",MONTH(E2))</f>
        <v/>
      </c>
      <c r="AB2" s="14">
        <f>IF(E2="","",ROUNDUP(MONTH(E2)/3,0))</f>
        <v/>
      </c>
      <c r="AC2" s="14">
        <f>IF(E2="","",YEAR(E2))</f>
        <v/>
      </c>
    </row>
    <row r="3">
      <c r="A3" s="14">
        <f>IF(B3="","","SEZ-"&amp;TEXT(ROW()-1,"0000"))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>
        <f>IF(E3="","",WEEKNUM(E3))</f>
        <v/>
      </c>
      <c r="AA3" s="14">
        <f>IF(E3="","",MONTH(E3))</f>
        <v/>
      </c>
      <c r="AB3" s="14">
        <f>IF(E3="","",ROUNDUP(MONTH(E3)/3,0))</f>
        <v/>
      </c>
      <c r="AC3" s="14">
        <f>IF(E3="","",YEAR(E3))</f>
        <v/>
      </c>
    </row>
    <row r="4">
      <c r="A4" s="14">
        <f>IF(B4="","","SEZ-"&amp;TEXT(ROW()-1,"0000"))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>
        <f>IF(E4="","",WEEKNUM(E4))</f>
        <v/>
      </c>
      <c r="AA4" s="14">
        <f>IF(E4="","",MONTH(E4))</f>
        <v/>
      </c>
      <c r="AB4" s="14">
        <f>IF(E4="","",ROUNDUP(MONTH(E4)/3,0))</f>
        <v/>
      </c>
      <c r="AC4" s="14">
        <f>IF(E4="","",YEAR(E4))</f>
        <v/>
      </c>
    </row>
    <row r="5">
      <c r="A5" s="14">
        <f>IF(B5="","","SEZ-"&amp;TEXT(ROW()-1,"0000"))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>
        <f>IF(E5="","",WEEKNUM(E5))</f>
        <v/>
      </c>
      <c r="AA5" s="14">
        <f>IF(E5="","",MONTH(E5))</f>
        <v/>
      </c>
      <c r="AB5" s="14">
        <f>IF(E5="","",ROUNDUP(MONTH(E5)/3,0))</f>
        <v/>
      </c>
      <c r="AC5" s="14">
        <f>IF(E5="","",YEAR(E5))</f>
        <v/>
      </c>
    </row>
    <row r="6">
      <c r="A6" s="14">
        <f>IF(B6="","","SEZ-"&amp;TEXT(ROW()-1,"0000"))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>
        <f>IF(E6="","",WEEKNUM(E6))</f>
        <v/>
      </c>
      <c r="AA6" s="14">
        <f>IF(E6="","",MONTH(E6))</f>
        <v/>
      </c>
      <c r="AB6" s="14">
        <f>IF(E6="","",ROUNDUP(MONTH(E6)/3,0))</f>
        <v/>
      </c>
      <c r="AC6" s="14">
        <f>IF(E6="","",YEAR(E6))</f>
        <v/>
      </c>
    </row>
  </sheetData>
  <dataValidations count="2">
    <dataValidation sqref="G2:G1000" showDropDown="0" showInputMessage="0" showErrorMessage="0" allowBlank="1" errorTitle="Invalid Entry" error="Please select from the list." type="list">
      <formula1>=Lookups!$D$2:$D$16</formula1>
    </dataValidation>
    <dataValidation sqref="H2:H1000" showDropDown="0" showInputMessage="0" showErrorMessage="0" allowBlank="1" errorTitle="Invalid Entry" error="Please select from the list." type="list">
      <formula1>=Lookups!$K$2:$K$16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1.xml><?xml version="1.0" encoding="utf-8"?>
<worksheet xmlns="http://schemas.openxmlformats.org/spreadsheetml/2006/main">
  <sheetPr>
    <tabColor rgb="00C00000"/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8" customWidth="1" min="9" max="9"/>
    <col width="18" customWidth="1" min="10" max="10"/>
    <col width="22" customWidth="1" min="11" max="11"/>
    <col width="24" customWidth="1" min="12" max="12"/>
    <col width="16" customWidth="1" min="13" max="13"/>
    <col width="14" customWidth="1" min="14" max="14"/>
    <col width="14" customWidth="1" min="15" max="15"/>
    <col width="18" customWidth="1" min="16" max="16"/>
    <col width="24" customWidth="1" min="17" max="17"/>
    <col width="14" customWidth="1" min="18" max="18"/>
    <col width="18" customWidth="1" min="19" max="19"/>
    <col width="14" customWidth="1" min="20" max="20"/>
    <col width="2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3" t="inlineStr">
        <is>
          <t>WarrantID</t>
        </is>
      </c>
      <c r="B1" s="13" t="inlineStr">
        <is>
          <t>WarrantType</t>
        </is>
      </c>
      <c r="C1" s="13" t="inlineStr">
        <is>
          <t>LinkedCaseID</t>
        </is>
      </c>
      <c r="D1" s="13" t="inlineStr">
        <is>
          <t>LinkedLeadID</t>
        </is>
      </c>
      <c r="E1" s="13" t="inlineStr">
        <is>
          <t>LinkedOpsID</t>
        </is>
      </c>
      <c r="F1" s="13" t="inlineStr">
        <is>
          <t>ApplicationDate</t>
        </is>
      </c>
      <c r="G1" s="13" t="inlineStr">
        <is>
          <t>IssuedDate</t>
        </is>
      </c>
      <c r="H1" s="13" t="inlineStr">
        <is>
          <t>IssuedBy</t>
        </is>
      </c>
      <c r="I1" s="13" t="inlineStr">
        <is>
          <t>JP_Name</t>
        </is>
      </c>
      <c r="J1" s="13" t="inlineStr">
        <is>
          <t>Court</t>
        </is>
      </c>
      <c r="K1" s="13" t="inlineStr">
        <is>
          <t>TargetName</t>
        </is>
      </c>
      <c r="L1" s="13" t="inlineStr">
        <is>
          <t>TargetAddress</t>
        </is>
      </c>
      <c r="M1" s="13" t="inlineStr">
        <is>
          <t>Parish</t>
        </is>
      </c>
      <c r="N1" s="13" t="inlineStr">
        <is>
          <t>ValidUntil</t>
        </is>
      </c>
      <c r="O1" s="13" t="inlineStr">
        <is>
          <t>ExecutionDate</t>
        </is>
      </c>
      <c r="P1" s="13" t="inlineStr">
        <is>
          <t>ExecutedBy</t>
        </is>
      </c>
      <c r="Q1" s="13" t="inlineStr">
        <is>
          <t>ExecutionOutcome</t>
        </is>
      </c>
      <c r="R1" s="13" t="inlineStr">
        <is>
          <t>ReturnToJP_Date</t>
        </is>
      </c>
      <c r="S1" s="13" t="inlineStr">
        <is>
          <t>ReturnToJP_By</t>
        </is>
      </c>
      <c r="T1" s="13" t="inlineStr">
        <is>
          <t>Status</t>
        </is>
      </c>
      <c r="U1" s="13" t="inlineStr">
        <is>
          <t>Notes</t>
        </is>
      </c>
      <c r="V1" s="13" t="inlineStr">
        <is>
          <t>CreatedBy</t>
        </is>
      </c>
      <c r="W1" s="13" t="inlineStr">
        <is>
          <t>CreatedDate</t>
        </is>
      </c>
      <c r="X1" s="13" t="inlineStr">
        <is>
          <t>LastUpdatedBy</t>
        </is>
      </c>
      <c r="Y1" s="13" t="inlineStr">
        <is>
          <t>LastUpdatedDate</t>
        </is>
      </c>
    </row>
    <row r="2">
      <c r="A2" s="14">
        <f>IF(B2="","","WAR-"&amp;TEXT(ROW()-1,"0000"))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</row>
    <row r="3">
      <c r="A3" s="14">
        <f>IF(B3="","","WAR-"&amp;TEXT(ROW()-1,"0000"))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</row>
    <row r="4">
      <c r="A4" s="14">
        <f>IF(B4="","","WAR-"&amp;TEXT(ROW()-1,"0000"))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</row>
    <row r="5">
      <c r="A5" s="14">
        <f>IF(B5="","","WAR-"&amp;TEXT(ROW()-1,"0000"))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</row>
    <row r="6">
      <c r="A6" s="14">
        <f>IF(B6="","","WAR-"&amp;TEXT(ROW()-1,"0000"))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</row>
  </sheetData>
  <conditionalFormatting sqref="N2:N1000">
    <cfRule type="expression" priority="1" dxfId="0">
      <formula>=AND(N2&lt;&gt;"",N2&lt;TODAY(),O2="")</formula>
    </cfRule>
  </conditionalFormatting>
  <dataValidations count="3">
    <dataValidation sqref="M2:M1000" showDropDown="0" showInputMessage="0" showErrorMessage="0" allowBlank="1" errorTitle="Invalid Entry" error="Please select from the list." type="list">
      <formula1>=Lookups!$D$2:$D$16</formula1>
    </dataValidation>
    <dataValidation sqref="B2:B1000" showDropDown="0" showInputMessage="0" showErrorMessage="0" allowBlank="1" errorTitle="Invalid Entry" error="Please select from the list." type="list">
      <formula1>=Lookups!$Z$2:$Z$6</formula1>
    </dataValidation>
    <dataValidation sqref="T2:T1000" showDropDown="0" showInputMessage="0" showErrorMessage="0" allowBlank="1" errorTitle="Invalid Entry" error="Please select from the list." type="list">
      <formula1>=Lookups!$AA$2:$AA$7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2.xml><?xml version="1.0" encoding="utf-8"?>
<worksheet xmlns="http://schemas.openxmlformats.org/spreadsheetml/2006/main">
  <sheetPr>
    <tabColor rgb="00BF8F00"/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4" customWidth="1" min="4" max="4"/>
    <col width="14" customWidth="1" min="5" max="5"/>
    <col width="14" customWidth="1" min="6" max="6"/>
    <col width="18" customWidth="1" min="7" max="7"/>
    <col width="16" customWidth="1" min="8" max="8"/>
    <col width="20" customWidth="1" min="9" max="9"/>
    <col width="14" customWidth="1" min="10" max="10"/>
    <col width="16" customWidth="1" min="11" max="11"/>
    <col width="16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2" customWidth="1" min="20" max="20"/>
    <col width="2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3" t="inlineStr">
        <is>
          <t>InformantID</t>
        </is>
      </c>
      <c r="B1" s="13" t="inlineStr">
        <is>
          <t>CodeName</t>
        </is>
      </c>
      <c r="C1" s="13" t="inlineStr">
        <is>
          <t>Handler</t>
        </is>
      </c>
      <c r="D1" s="13" t="inlineStr">
        <is>
          <t>HandlerBadge</t>
        </is>
      </c>
      <c r="E1" s="13" t="inlineStr">
        <is>
          <t>Unit</t>
        </is>
      </c>
      <c r="F1" s="13" t="inlineStr">
        <is>
          <t>RegistrationDate</t>
        </is>
      </c>
      <c r="G1" s="13" t="inlineStr">
        <is>
          <t>Credibility</t>
        </is>
      </c>
      <c r="H1" s="13" t="inlineStr">
        <is>
          <t>Parish</t>
        </is>
      </c>
      <c r="I1" s="13" t="inlineStr">
        <is>
          <t>Area_Coverage</t>
        </is>
      </c>
      <c r="J1" s="13" t="inlineStr">
        <is>
          <t>TotalTipsProvided</t>
        </is>
      </c>
      <c r="K1" s="13" t="inlineStr">
        <is>
          <t>TipsConvertedToCase</t>
        </is>
      </c>
      <c r="L1" s="13" t="inlineStr">
        <is>
          <t>TipsConvertedToOp</t>
        </is>
      </c>
      <c r="M1" s="13" t="inlineStr">
        <is>
          <t>ConversionRate</t>
        </is>
      </c>
      <c r="N1" s="13" t="inlineStr">
        <is>
          <t>LastContactDate</t>
        </is>
      </c>
      <c r="O1" s="13" t="inlineStr">
        <is>
          <t>NextContactDue</t>
        </is>
      </c>
      <c r="P1" s="13" t="inlineStr">
        <is>
          <t>PaymentsToDate</t>
        </is>
      </c>
      <c r="Q1" s="13" t="inlineStr">
        <is>
          <t>LastPaymentDate</t>
        </is>
      </c>
      <c r="R1" s="13" t="inlineStr">
        <is>
          <t>LastPaymentAmount</t>
        </is>
      </c>
      <c r="S1" s="13" t="inlineStr">
        <is>
          <t>RiskToInformant</t>
        </is>
      </c>
      <c r="T1" s="13" t="inlineStr">
        <is>
          <t>Status</t>
        </is>
      </c>
      <c r="U1" s="13" t="inlineStr">
        <is>
          <t>Notes</t>
        </is>
      </c>
      <c r="V1" s="13" t="inlineStr">
        <is>
          <t>CreatedBy</t>
        </is>
      </c>
      <c r="W1" s="13" t="inlineStr">
        <is>
          <t>CreatedDate</t>
        </is>
      </c>
      <c r="X1" s="13" t="inlineStr">
        <is>
          <t>LastUpdatedBy</t>
        </is>
      </c>
      <c r="Y1" s="13" t="inlineStr">
        <is>
          <t>LastUpdatedDate</t>
        </is>
      </c>
    </row>
    <row r="2">
      <c r="A2" s="14">
        <f>IF(B2="","","INF-"&amp;TEXT(ROW()-1,"0000"))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6">
        <f>IF(OR(J2="",J2=0),"",((K2+L2)/J2))</f>
        <v/>
      </c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</row>
    <row r="3">
      <c r="A3" s="14">
        <f>IF(B3="","","INF-"&amp;TEXT(ROW()-1,"0000"))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6">
        <f>IF(OR(J3="",J3=0),"",((K3+L3)/J3))</f>
        <v/>
      </c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</row>
    <row r="4">
      <c r="A4" s="14">
        <f>IF(B4="","","INF-"&amp;TEXT(ROW()-1,"0000"))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6">
        <f>IF(OR(J4="",J4=0),"",((K4+L4)/J4))</f>
        <v/>
      </c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</row>
    <row r="5">
      <c r="A5" s="14">
        <f>IF(B5="","","INF-"&amp;TEXT(ROW()-1,"0000"))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6">
        <f>IF(OR(J5="",J5=0),"",((K5+L5)/J5))</f>
        <v/>
      </c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</row>
    <row r="6">
      <c r="A6" s="14">
        <f>IF(B6="","","INF-"&amp;TEXT(ROW()-1,"0000"))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6">
        <f>IF(OR(J6="",J6=0),"",((K6+L6)/J6))</f>
        <v/>
      </c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</row>
  </sheetData>
  <conditionalFormatting sqref="O2:O1000">
    <cfRule type="expression" priority="1" dxfId="0">
      <formula>=AND(O2&lt;&gt;"",O2&lt;TODAY())</formula>
    </cfRule>
  </conditionalFormatting>
  <dataValidations count="3">
    <dataValidation sqref="E2:E1000" showDropDown="0" showInputMessage="0" showErrorMessage="0" allowBlank="1" errorTitle="Invalid Entry" error="Please select from the list." type="list">
      <formula1>=Lookups!$E$2:$E$11</formula1>
    </dataValidation>
    <dataValidation sqref="G2:G1000" showDropDown="0" showInputMessage="0" showErrorMessage="0" allowBlank="1" errorTitle="Invalid Entry" error="Please select from the list." type="list">
      <formula1>=Lookups!$J$2:$J$7</formula1>
    </dataValidation>
    <dataValidation sqref="H2:H1000" showDropDown="0" showInputMessage="0" showErrorMessage="0" allowBlank="1" errorTitle="Invalid Entry" error="Please select from the list." type="list">
      <formula1>=Lookups!$D$2:$D$16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3.xml><?xml version="1.0" encoding="utf-8"?>
<worksheet xmlns="http://schemas.openxmlformats.org/spreadsheetml/2006/main">
  <sheetPr>
    <tabColor rgb="007030A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2" customWidth="1" min="4" max="4"/>
    <col width="12" customWidth="1" min="5" max="5"/>
    <col width="22" customWidth="1" min="6" max="6"/>
    <col width="14" customWidth="1" min="7" max="7"/>
    <col width="14" customWidth="1" min="8" max="8"/>
    <col width="14" customWidth="1" min="9" max="9"/>
    <col width="16" customWidth="1" min="10" max="10"/>
    <col width="20" customWidth="1" min="11" max="11"/>
    <col width="20" customWidth="1" min="12" max="12"/>
    <col width="18" customWidth="1" min="13" max="13"/>
    <col width="12" customWidth="1" min="14" max="14"/>
    <col width="14" customWidth="1" min="15" max="15"/>
    <col width="18" customWidth="1" min="16" max="16"/>
    <col width="24" customWidth="1" min="17" max="17"/>
    <col width="14" customWidth="1" min="18" max="18"/>
    <col width="14" customWidth="1" min="19" max="19"/>
    <col width="8" customWidth="1" min="20" max="20"/>
    <col width="8" customWidth="1" min="21" max="21"/>
    <col width="8" customWidth="1" min="22" max="22"/>
    <col width="8" customWidth="1" min="23" max="23"/>
  </cols>
  <sheetData>
    <row r="1">
      <c r="A1" s="13" t="inlineStr">
        <is>
          <t>RosterID</t>
        </is>
      </c>
      <c r="B1" s="13" t="inlineStr">
        <is>
          <t>Date</t>
        </is>
      </c>
      <c r="C1" s="13" t="inlineStr">
        <is>
          <t>ShiftType</t>
        </is>
      </c>
      <c r="D1" s="13" t="inlineStr">
        <is>
          <t>StartTime</t>
        </is>
      </c>
      <c r="E1" s="13" t="inlineStr">
        <is>
          <t>EndTime</t>
        </is>
      </c>
      <c r="F1" s="13" t="inlineStr">
        <is>
          <t>OfficerName</t>
        </is>
      </c>
      <c r="G1" s="13" t="inlineStr">
        <is>
          <t>Rank</t>
        </is>
      </c>
      <c r="H1" s="13" t="inlineStr">
        <is>
          <t>BadgeNo</t>
        </is>
      </c>
      <c r="I1" s="13" t="inlineStr">
        <is>
          <t>Unit</t>
        </is>
      </c>
      <c r="J1" s="13" t="inlineStr">
        <is>
          <t>Station</t>
        </is>
      </c>
      <c r="K1" s="13" t="inlineStr">
        <is>
          <t>Assignment</t>
        </is>
      </c>
      <c r="L1" s="13" t="inlineStr">
        <is>
          <t>PostLocation</t>
        </is>
      </c>
      <c r="M1" s="13" t="inlineStr">
        <is>
          <t>Supervisor</t>
        </is>
      </c>
      <c r="N1" s="13" t="inlineStr">
        <is>
          <t>OvertimeHrs</t>
        </is>
      </c>
      <c r="O1" s="13" t="inlineStr">
        <is>
          <t>LeaveType</t>
        </is>
      </c>
      <c r="P1" s="13" t="inlineStr">
        <is>
          <t>Replacement</t>
        </is>
      </c>
      <c r="Q1" s="13" t="inlineStr">
        <is>
          <t>Notes</t>
        </is>
      </c>
      <c r="R1" s="13" t="inlineStr">
        <is>
          <t>CreatedBy</t>
        </is>
      </c>
      <c r="S1" s="13" t="inlineStr">
        <is>
          <t>CreatedDate</t>
        </is>
      </c>
      <c r="T1" s="13" t="inlineStr">
        <is>
          <t>Week</t>
        </is>
      </c>
      <c r="U1" s="13" t="inlineStr">
        <is>
          <t>Month</t>
        </is>
      </c>
      <c r="V1" s="13" t="inlineStr">
        <is>
          <t>Quarter</t>
        </is>
      </c>
      <c r="W1" s="13" t="inlineStr">
        <is>
          <t>Year</t>
        </is>
      </c>
    </row>
    <row r="2">
      <c r="A2" s="14">
        <f>IF(B2="","","DUTY-"&amp;TEXT(ROW()-1,"0000"))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>
        <f>IF(B2="","",WEEKNUM(B2))</f>
        <v/>
      </c>
      <c r="U2" s="14">
        <f>IF(B2="","",MONTH(B2))</f>
        <v/>
      </c>
      <c r="V2" s="14">
        <f>IF(B2="","",ROUNDUP(MONTH(B2)/3,0))</f>
        <v/>
      </c>
      <c r="W2" s="14">
        <f>IF(B2="","",YEAR(B2))</f>
        <v/>
      </c>
    </row>
    <row r="3">
      <c r="A3" s="14">
        <f>IF(B3="","","DUTY-"&amp;TEXT(ROW()-1,"0000"))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>
        <f>IF(B3="","",WEEKNUM(B3))</f>
        <v/>
      </c>
      <c r="U3" s="14">
        <f>IF(B3="","",MONTH(B3))</f>
        <v/>
      </c>
      <c r="V3" s="14">
        <f>IF(B3="","",ROUNDUP(MONTH(B3)/3,0))</f>
        <v/>
      </c>
      <c r="W3" s="14">
        <f>IF(B3="","",YEAR(B3))</f>
        <v/>
      </c>
    </row>
    <row r="4">
      <c r="A4" s="14">
        <f>IF(B4="","","DUTY-"&amp;TEXT(ROW()-1,"0000"))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>
        <f>IF(B4="","",WEEKNUM(B4))</f>
        <v/>
      </c>
      <c r="U4" s="14">
        <f>IF(B4="","",MONTH(B4))</f>
        <v/>
      </c>
      <c r="V4" s="14">
        <f>IF(B4="","",ROUNDUP(MONTH(B4)/3,0))</f>
        <v/>
      </c>
      <c r="W4" s="14">
        <f>IF(B4="","",YEAR(B4))</f>
        <v/>
      </c>
    </row>
    <row r="5">
      <c r="A5" s="14">
        <f>IF(B5="","","DUTY-"&amp;TEXT(ROW()-1,"0000"))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>
        <f>IF(B5="","",WEEKNUM(B5))</f>
        <v/>
      </c>
      <c r="U5" s="14">
        <f>IF(B5="","",MONTH(B5))</f>
        <v/>
      </c>
      <c r="V5" s="14">
        <f>IF(B5="","",ROUNDUP(MONTH(B5)/3,0))</f>
        <v/>
      </c>
      <c r="W5" s="14">
        <f>IF(B5="","",YEAR(B5))</f>
        <v/>
      </c>
    </row>
    <row r="6">
      <c r="A6" s="14">
        <f>IF(B6="","","DUTY-"&amp;TEXT(ROW()-1,"0000"))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>
        <f>IF(B6="","",WEEKNUM(B6))</f>
        <v/>
      </c>
      <c r="U6" s="14">
        <f>IF(B6="","",MONTH(B6))</f>
        <v/>
      </c>
      <c r="V6" s="14">
        <f>IF(B6="","",ROUNDUP(MONTH(B6)/3,0))</f>
        <v/>
      </c>
      <c r="W6" s="14">
        <f>IF(B6="","",YEAR(B6))</f>
        <v/>
      </c>
    </row>
  </sheetData>
  <dataValidations count="3">
    <dataValidation sqref="G2:G1000" showDropDown="0" showInputMessage="0" showErrorMessage="0" allowBlank="1" errorTitle="Invalid Entry" error="Please select from the list." type="list">
      <formula1>=Lookups!$Q$2:$Q$11</formula1>
    </dataValidation>
    <dataValidation sqref="I2:I1000" showDropDown="0" showInputMessage="0" showErrorMessage="0" allowBlank="1" errorTitle="Invalid Entry" error="Please select from the list." type="list">
      <formula1>=Lookups!$E$2:$E$11</formula1>
    </dataValidation>
    <dataValidation sqref="C2:C1000" showDropDown="0" showInputMessage="0" showErrorMessage="0" allowBlank="1" errorTitle="Invalid Entry" error="Please select from the list." type="list">
      <formula1>=Lookups!$Y$2:$Y$7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4.xml><?xml version="1.0" encoding="utf-8"?>
<worksheet xmlns="http://schemas.openxmlformats.org/spreadsheetml/2006/main">
  <sheetPr>
    <tabColor rgb="00538135"/>
    <outlinePr summaryBelow="1" summaryRight="1"/>
    <pageSetUpPr/>
  </sheetPr>
  <dimension ref="A1:T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2" customWidth="1" min="5" max="5"/>
    <col width="18" customWidth="1" min="6" max="6"/>
    <col width="14" customWidth="1" min="7" max="7"/>
    <col width="14" customWidth="1" min="8" max="8"/>
    <col width="18" customWidth="1" min="9" max="9"/>
    <col width="14" customWidth="1" min="10" max="10"/>
    <col width="14" customWidth="1" min="11" max="11"/>
    <col width="24" customWidth="1" min="12" max="12"/>
    <col width="20" customWidth="1" min="13" max="13"/>
    <col width="20" customWidth="1" min="14" max="14"/>
    <col width="18" customWidth="1" min="15" max="15"/>
    <col width="18" customWidth="1" min="16" max="16"/>
    <col width="14" customWidth="1" min="17" max="17"/>
    <col width="24" customWidth="1" min="18" max="18"/>
    <col width="14" customWidth="1" min="19" max="19"/>
    <col width="14" customWidth="1" min="20" max="20"/>
  </cols>
  <sheetData>
    <row r="1">
      <c r="A1" s="13" t="inlineStr">
        <is>
          <t>TransferID</t>
        </is>
      </c>
      <c r="B1" s="13" t="inlineStr">
        <is>
          <t>ExhibitID</t>
        </is>
      </c>
      <c r="C1" s="13" t="inlineStr">
        <is>
          <t>LinkedCaseID</t>
        </is>
      </c>
      <c r="D1" s="13" t="inlineStr">
        <is>
          <t>TransferDate</t>
        </is>
      </c>
      <c r="E1" s="13" t="inlineStr">
        <is>
          <t>TransferTime</t>
        </is>
      </c>
      <c r="F1" s="13" t="inlineStr">
        <is>
          <t>ReleasedBy</t>
        </is>
      </c>
      <c r="G1" s="13" t="inlineStr">
        <is>
          <t>ReleasedByRank</t>
        </is>
      </c>
      <c r="H1" s="13" t="inlineStr">
        <is>
          <t>ReleasedByBadge</t>
        </is>
      </c>
      <c r="I1" s="13" t="inlineStr">
        <is>
          <t>ReceivedBy</t>
        </is>
      </c>
      <c r="J1" s="13" t="inlineStr">
        <is>
          <t>ReceivedByRank</t>
        </is>
      </c>
      <c r="K1" s="13" t="inlineStr">
        <is>
          <t>ReceivedByBadge</t>
        </is>
      </c>
      <c r="L1" s="13" t="inlineStr">
        <is>
          <t>Purpose</t>
        </is>
      </c>
      <c r="M1" s="13" t="inlineStr">
        <is>
          <t>FromLocation</t>
        </is>
      </c>
      <c r="N1" s="13" t="inlineStr">
        <is>
          <t>ToLocation</t>
        </is>
      </c>
      <c r="O1" s="13" t="inlineStr">
        <is>
          <t>ConditionAtTransfer</t>
        </is>
      </c>
      <c r="P1" s="13" t="inlineStr">
        <is>
          <t>WitnessName</t>
        </is>
      </c>
      <c r="Q1" s="13" t="inlineStr">
        <is>
          <t>WitnessBadge</t>
        </is>
      </c>
      <c r="R1" s="13" t="inlineStr">
        <is>
          <t>Notes</t>
        </is>
      </c>
      <c r="S1" s="13" t="inlineStr">
        <is>
          <t>CreatedBy</t>
        </is>
      </c>
      <c r="T1" s="13" t="inlineStr">
        <is>
          <t>CreatedDate</t>
        </is>
      </c>
    </row>
    <row r="2">
      <c r="A2" s="14">
        <f>IF(B2="","","COC-"&amp;TEXT(ROW()-1,"0000"))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</row>
    <row r="3">
      <c r="A3" s="14">
        <f>IF(B3="","","COC-"&amp;TEXT(ROW()-1,"0000"))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</row>
    <row r="4">
      <c r="A4" s="14">
        <f>IF(B4="","","COC-"&amp;TEXT(ROW()-1,"0000"))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</row>
    <row r="5">
      <c r="A5" s="14">
        <f>IF(B5="","","COC-"&amp;TEXT(ROW()-1,"0000"))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</row>
    <row r="6">
      <c r="A6" s="14">
        <f>IF(B6="","","COC-"&amp;TEXT(ROW()-1,"0000"))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5.xml><?xml version="1.0" encoding="utf-8"?>
<worksheet xmlns="http://schemas.openxmlformats.org/spreadsheetml/2006/main">
  <sheetPr>
    <tabColor rgb="001F3864"/>
    <outlinePr summaryBelow="1" summaryRight="1"/>
    <pageSetUpPr/>
  </sheetPr>
  <dimension ref="A1:AG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2" customWidth="1" min="5" max="5"/>
    <col width="24" customWidth="1" min="6" max="6"/>
    <col width="16" customWidth="1" min="7" max="7"/>
    <col width="18" customWidth="1" min="8" max="8"/>
    <col width="16" customWidth="1" min="9" max="9"/>
    <col width="18" customWidth="1" min="10" max="10"/>
    <col width="14" customWidth="1" min="11" max="11"/>
    <col width="14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4" customWidth="1" min="19" max="19"/>
    <col width="14" customWidth="1" min="20" max="20"/>
    <col width="12" customWidth="1" min="21" max="21"/>
    <col width="24" customWidth="1" min="22" max="22"/>
    <col width="20" customWidth="1" min="23" max="23"/>
    <col width="16" customWidth="1" min="24" max="24"/>
    <col width="12" customWidth="1" min="25" max="25"/>
    <col width="14" customWidth="1" min="26" max="26"/>
    <col width="14" customWidth="1" min="27" max="27"/>
    <col width="28" customWidth="1" min="28" max="28"/>
    <col width="2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3" t="inlineStr">
        <is>
          <t>SceneID</t>
        </is>
      </c>
      <c r="B1" s="13" t="inlineStr">
        <is>
          <t>LinkedCaseID</t>
        </is>
      </c>
      <c r="C1" s="13" t="inlineStr">
        <is>
          <t>LinkedOpsID</t>
        </is>
      </c>
      <c r="D1" s="13" t="inlineStr">
        <is>
          <t>Date</t>
        </is>
      </c>
      <c r="E1" s="13" t="inlineStr">
        <is>
          <t>Time</t>
        </is>
      </c>
      <c r="F1" s="13" t="inlineStr">
        <is>
          <t>Location</t>
        </is>
      </c>
      <c r="G1" s="13" t="inlineStr">
        <is>
          <t>Parish</t>
        </is>
      </c>
      <c r="H1" s="13" t="inlineStr">
        <is>
          <t>GPS_Coordinates</t>
        </is>
      </c>
      <c r="I1" s="13" t="inlineStr">
        <is>
          <t>SceneType</t>
        </is>
      </c>
      <c r="J1" s="13" t="inlineStr">
        <is>
          <t>SceneOfficer</t>
        </is>
      </c>
      <c r="K1" s="13" t="inlineStr">
        <is>
          <t>Rank</t>
        </is>
      </c>
      <c r="L1" s="13" t="inlineStr">
        <is>
          <t>BadgeNo</t>
        </is>
      </c>
      <c r="M1" s="13" t="inlineStr">
        <is>
          <t>PhotosTaken</t>
        </is>
      </c>
      <c r="N1" s="13" t="inlineStr">
        <is>
          <t>VideoRecorded</t>
        </is>
      </c>
      <c r="O1" s="13" t="inlineStr">
        <is>
          <t>SketchDrawn</t>
        </is>
      </c>
      <c r="P1" s="13" t="inlineStr">
        <is>
          <t>GSR_Collected</t>
        </is>
      </c>
      <c r="Q1" s="13" t="inlineStr">
        <is>
          <t>ShellCasingsFound</t>
        </is>
      </c>
      <c r="R1" s="13" t="inlineStr">
        <is>
          <t>ShellCasingCount</t>
        </is>
      </c>
      <c r="S1" s="13" t="inlineStr">
        <is>
          <t>BloodSamplesCollected</t>
        </is>
      </c>
      <c r="T1" s="13" t="inlineStr">
        <is>
          <t>FingerprintsLifted</t>
        </is>
      </c>
      <c r="U1" s="13" t="inlineStr">
        <is>
          <t>WeaponsFound</t>
        </is>
      </c>
      <c r="V1" s="13" t="inlineStr">
        <is>
          <t>WeaponDetails</t>
        </is>
      </c>
      <c r="W1" s="13" t="inlineStr">
        <is>
          <t>WitnessesAtScene</t>
        </is>
      </c>
      <c r="X1" s="13" t="inlineStr">
        <is>
          <t>WeatherConditions</t>
        </is>
      </c>
      <c r="Y1" s="13" t="inlineStr">
        <is>
          <t>Lighting</t>
        </is>
      </c>
      <c r="Z1" s="13" t="inlineStr">
        <is>
          <t>SceneSealedTime</t>
        </is>
      </c>
      <c r="AA1" s="13" t="inlineStr">
        <is>
          <t>SceneReleasedTime</t>
        </is>
      </c>
      <c r="AB1" s="13" t="inlineStr">
        <is>
          <t>OtherEvidenceNotes</t>
        </is>
      </c>
      <c r="AC1" s="13" t="inlineStr">
        <is>
          <t>Notes</t>
        </is>
      </c>
      <c r="AD1" s="13" t="inlineStr">
        <is>
          <t>CreatedBy</t>
        </is>
      </c>
      <c r="AE1" s="13" t="inlineStr">
        <is>
          <t>CreatedDate</t>
        </is>
      </c>
      <c r="AF1" s="13" t="inlineStr">
        <is>
          <t>LastUpdatedBy</t>
        </is>
      </c>
      <c r="AG1" s="13" t="inlineStr">
        <is>
          <t>LastUpdatedDate</t>
        </is>
      </c>
    </row>
    <row r="2">
      <c r="A2" s="14">
        <f>IF(B2="","","SCN-"&amp;TEXT(ROW()-1,"0000"))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</row>
    <row r="3">
      <c r="A3" s="14">
        <f>IF(B3="","","SCN-"&amp;TEXT(ROW()-1,"0000"))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</row>
    <row r="4">
      <c r="A4" s="14">
        <f>IF(B4="","","SCN-"&amp;TEXT(ROW()-1,"0000"))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</row>
    <row r="5">
      <c r="A5" s="14">
        <f>IF(B5="","","SCN-"&amp;TEXT(ROW()-1,"0000"))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 t="n"/>
      <c r="AE5" s="14" t="n"/>
      <c r="AF5" s="14" t="n"/>
      <c r="AG5" s="14" t="n"/>
    </row>
    <row r="6">
      <c r="A6" s="14">
        <f>IF(B6="","","SCN-"&amp;TEXT(ROW()-1,"0000"))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 t="n"/>
      <c r="AG6" s="14" t="n"/>
    </row>
  </sheetData>
  <dataValidations count="6">
    <dataValidation sqref="G2:G1000" showDropDown="0" showInputMessage="0" showErrorMessage="0" allowBlank="1" errorTitle="Invalid Entry" error="Please select from the list." type="list">
      <formula1>=Lookups!$D$2:$D$16</formula1>
    </dataValidation>
    <dataValidation sqref="M2:M1000" showDropDown="0" showInputMessage="0" showErrorMessage="0" allowBlank="1" errorTitle="Invalid Entry" error="Please select from the list." type="list">
      <formula1>=Lookups!$I$2:$I$3</formula1>
    </dataValidation>
    <dataValidation sqref="N2:N1000" showDropDown="0" showInputMessage="0" showErrorMessage="0" allowBlank="1" errorTitle="Invalid Entry" error="Please select from the list." type="list">
      <formula1>=Lookups!$I$2:$I$3</formula1>
    </dataValidation>
    <dataValidation sqref="O2:O1000" showDropDown="0" showInputMessage="0" showErrorMessage="0" allowBlank="1" errorTitle="Invalid Entry" error="Please select from the list." type="list">
      <formula1>=Lookups!$I$2:$I$3</formula1>
    </dataValidation>
    <dataValidation sqref="P2:P1000" showDropDown="0" showInputMessage="0" showErrorMessage="0" allowBlank="1" errorTitle="Invalid Entry" error="Please select from the list." type="list">
      <formula1>=Lookups!$I$2:$I$3</formula1>
    </dataValidation>
    <dataValidation sqref="I2:I1000" showDropDown="0" showInputMessage="0" showErrorMessage="0" allowBlank="1" errorTitle="Invalid Entry" error="Please select from the list." type="list">
      <formula1>=Lookups!$AD$2:$AD$10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6.xml><?xml version="1.0" encoding="utf-8"?>
<worksheet xmlns="http://schemas.openxmlformats.org/spreadsheetml/2006/main">
  <sheetPr>
    <tabColor rgb="001F3864"/>
    <outlinePr summaryBelow="1" summaryRight="1"/>
    <pageSetUpPr/>
  </sheetPr>
  <dimension ref="A1:AK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16" customWidth="1" min="4" max="4"/>
    <col width="14" customWidth="1" min="5" max="5"/>
    <col width="10" customWidth="1" min="6" max="6"/>
    <col width="24" customWidth="1" min="7" max="7"/>
    <col width="16" customWidth="1" min="8" max="8"/>
    <col width="16" customWidth="1" min="9" max="9"/>
    <col width="20" customWidth="1" min="10" max="10"/>
    <col width="16" customWidth="1" min="11" max="11"/>
    <col width="20" customWidth="1" min="12" max="12"/>
    <col width="12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2" customWidth="1" min="19" max="19"/>
    <col width="14" customWidth="1" min="20" max="20"/>
    <col width="12" customWidth="1" min="21" max="21"/>
    <col width="14" customWidth="1" min="22" max="22"/>
    <col width="14" customWidth="1" min="23" max="23"/>
    <col width="18" customWidth="1" min="24" max="24"/>
    <col width="14" customWidth="1" min="25" max="25"/>
    <col width="14" customWidth="1" min="26" max="26"/>
    <col width="20" customWidth="1" min="27" max="27"/>
    <col width="18" customWidth="1" min="28" max="28"/>
    <col width="12" customWidth="1" min="29" max="29"/>
    <col width="14" customWidth="1" min="30" max="30"/>
    <col width="14" customWidth="1" min="31" max="31"/>
    <col width="12" customWidth="1" min="32" max="32"/>
    <col width="24" customWidth="1" min="33" max="33"/>
    <col width="14" customWidth="1" min="34" max="34"/>
    <col width="14" customWidth="1" min="35" max="35"/>
    <col width="14" customWidth="1" min="36" max="36"/>
    <col width="14" customWidth="1" min="37" max="37"/>
  </cols>
  <sheetData>
    <row r="1">
      <c r="A1" s="13" t="inlineStr">
        <is>
          <t>WitnessID</t>
        </is>
      </c>
      <c r="B1" s="13" t="inlineStr">
        <is>
          <t>LinkedCaseID</t>
        </is>
      </c>
      <c r="C1" s="13" t="inlineStr">
        <is>
          <t>FullName</t>
        </is>
      </c>
      <c r="D1" s="13" t="inlineStr">
        <is>
          <t>Alias</t>
        </is>
      </c>
      <c r="E1" s="13" t="inlineStr">
        <is>
          <t>DOB</t>
        </is>
      </c>
      <c r="F1" s="13" t="inlineStr">
        <is>
          <t>Gender</t>
        </is>
      </c>
      <c r="G1" s="13" t="inlineStr">
        <is>
          <t>Address</t>
        </is>
      </c>
      <c r="H1" s="13" t="inlineStr">
        <is>
          <t>Parish</t>
        </is>
      </c>
      <c r="I1" s="13" t="inlineStr">
        <is>
          <t>Phone</t>
        </is>
      </c>
      <c r="J1" s="13" t="inlineStr">
        <is>
          <t>Email</t>
        </is>
      </c>
      <c r="K1" s="13" t="inlineStr">
        <is>
          <t>WitnessType</t>
        </is>
      </c>
      <c r="L1" s="13" t="inlineStr">
        <is>
          <t>RelationToCase</t>
        </is>
      </c>
      <c r="M1" s="13" t="inlineStr">
        <is>
          <t>StatementTaken</t>
        </is>
      </c>
      <c r="N1" s="13" t="inlineStr">
        <is>
          <t>StatementDate</t>
        </is>
      </c>
      <c r="O1" s="13" t="inlineStr">
        <is>
          <t>StatementID</t>
        </is>
      </c>
      <c r="P1" s="13" t="inlineStr">
        <is>
          <t>WillingToTestify</t>
        </is>
      </c>
      <c r="Q1" s="13" t="inlineStr">
        <is>
          <t>AvailableForCourt</t>
        </is>
      </c>
      <c r="R1" s="13" t="inlineStr">
        <is>
          <t>CourtDate</t>
        </is>
      </c>
      <c r="S1" s="13" t="inlineStr">
        <is>
          <t>SummonsIssued</t>
        </is>
      </c>
      <c r="T1" s="13" t="inlineStr">
        <is>
          <t>SummonsDate</t>
        </is>
      </c>
      <c r="U1" s="13" t="inlineStr">
        <is>
          <t>SummonsServed</t>
        </is>
      </c>
      <c r="V1" s="13" t="inlineStr">
        <is>
          <t>SummonsServedDate</t>
        </is>
      </c>
      <c r="W1" s="13" t="inlineStr">
        <is>
          <t>ProtectionRequired</t>
        </is>
      </c>
      <c r="X1" s="13" t="inlineStr">
        <is>
          <t>ProtectionType</t>
        </is>
      </c>
      <c r="Y1" s="13" t="inlineStr">
        <is>
          <t>ProtectionApproved</t>
        </is>
      </c>
      <c r="Z1" s="13" t="inlineStr">
        <is>
          <t>VulnerableWitness</t>
        </is>
      </c>
      <c r="AA1" s="13" t="inlineStr">
        <is>
          <t>SpecialMeasures</t>
        </is>
      </c>
      <c r="AB1" s="13" t="inlineStr">
        <is>
          <t>CredibilityAssessment</t>
        </is>
      </c>
      <c r="AC1" s="13" t="inlineStr">
        <is>
          <t>InterviewCount</t>
        </is>
      </c>
      <c r="AD1" s="13" t="inlineStr">
        <is>
          <t>LastContactDate</t>
        </is>
      </c>
      <c r="AE1" s="13" t="inlineStr">
        <is>
          <t>NextContactDue</t>
        </is>
      </c>
      <c r="AF1" s="13" t="inlineStr">
        <is>
          <t>Status</t>
        </is>
      </c>
      <c r="AG1" s="13" t="inlineStr">
        <is>
          <t>Notes</t>
        </is>
      </c>
      <c r="AH1" s="13" t="inlineStr">
        <is>
          <t>CreatedBy</t>
        </is>
      </c>
      <c r="AI1" s="13" t="inlineStr">
        <is>
          <t>CreatedDate</t>
        </is>
      </c>
      <c r="AJ1" s="13" t="inlineStr">
        <is>
          <t>LastUpdatedBy</t>
        </is>
      </c>
      <c r="AK1" s="13" t="inlineStr">
        <is>
          <t>LastUpdatedDate</t>
        </is>
      </c>
    </row>
    <row r="2">
      <c r="A2" s="14">
        <f>IF(B2="","","WIT-"&amp;TEXT(ROW()-1,"0000"))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  <c r="AH2" s="14" t="n"/>
      <c r="AI2" s="14" t="n"/>
      <c r="AJ2" s="14" t="n"/>
      <c r="AK2" s="14" t="n"/>
    </row>
    <row r="3">
      <c r="A3" s="14">
        <f>IF(B3="","","WIT-"&amp;TEXT(ROW()-1,"0000"))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</row>
    <row r="4">
      <c r="A4" s="14">
        <f>IF(B4="","","WIT-"&amp;TEXT(ROW()-1,"0000"))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14" t="n"/>
      <c r="AK4" s="14" t="n"/>
    </row>
    <row r="5">
      <c r="A5" s="14">
        <f>IF(B5="","","WIT-"&amp;TEXT(ROW()-1,"0000"))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 t="n"/>
      <c r="AE5" s="14" t="n"/>
      <c r="AF5" s="14" t="n"/>
      <c r="AG5" s="14" t="n"/>
      <c r="AH5" s="14" t="n"/>
      <c r="AI5" s="14" t="n"/>
      <c r="AJ5" s="14" t="n"/>
      <c r="AK5" s="14" t="n"/>
    </row>
    <row r="6">
      <c r="A6" s="14">
        <f>IF(B6="","","WIT-"&amp;TEXT(ROW()-1,"0000"))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 t="n"/>
      <c r="AG6" s="14" t="n"/>
      <c r="AH6" s="14" t="n"/>
      <c r="AI6" s="14" t="n"/>
      <c r="AJ6" s="14" t="n"/>
      <c r="AK6" s="14" t="n"/>
    </row>
  </sheetData>
  <conditionalFormatting sqref="AE2:AE1000">
    <cfRule type="expression" priority="1" dxfId="0">
      <formula>=AND(AE2&lt;&gt;"",AE2&lt;TODAY())</formula>
    </cfRule>
  </conditionalFormatting>
  <conditionalFormatting sqref="U2:U1000">
    <cfRule type="expression" priority="2" dxfId="1">
      <formula>=AND(S2="Yes",U2="No")</formula>
    </cfRule>
  </conditionalFormatting>
  <dataValidations count="9">
    <dataValidation sqref="H2:H1000" showDropDown="0" showInputMessage="0" showErrorMessage="0" allowBlank="1" errorTitle="Invalid Entry" error="Please select from the list." type="list">
      <formula1>=Lookups!$D$2:$D$16</formula1>
    </dataValidation>
    <dataValidation sqref="M2:M1000" showDropDown="0" showInputMessage="0" showErrorMessage="0" allowBlank="1" errorTitle="Invalid Entry" error="Please select from the list." type="list">
      <formula1>=Lookups!$I$2:$I$3</formula1>
    </dataValidation>
    <dataValidation sqref="P2:P1000" showDropDown="0" showInputMessage="0" showErrorMessage="0" allowBlank="1" errorTitle="Invalid Entry" error="Please select from the list." type="list">
      <formula1>=Lookups!$I$2:$I$3</formula1>
    </dataValidation>
    <dataValidation sqref="Q2:Q1000" showDropDown="0" showInputMessage="0" showErrorMessage="0" allowBlank="1" errorTitle="Invalid Entry" error="Please select from the list." type="list">
      <formula1>=Lookups!$I$2:$I$3</formula1>
    </dataValidation>
    <dataValidation sqref="S2:S1000" showDropDown="0" showInputMessage="0" showErrorMessage="0" allowBlank="1" errorTitle="Invalid Entry" error="Please select from the list." type="list">
      <formula1>=Lookups!$I$2:$I$3</formula1>
    </dataValidation>
    <dataValidation sqref="U2:U1000" showDropDown="0" showInputMessage="0" showErrorMessage="0" allowBlank="1" errorTitle="Invalid Entry" error="Please select from the list." type="list">
      <formula1>=Lookups!$I$2:$I$3</formula1>
    </dataValidation>
    <dataValidation sqref="W2:W1000" showDropDown="0" showInputMessage="0" showErrorMessage="0" allowBlank="1" errorTitle="Invalid Entry" error="Please select from the list." type="list">
      <formula1>=Lookups!$I$2:$I$3</formula1>
    </dataValidation>
    <dataValidation sqref="Y2:Y1000" showDropDown="0" showInputMessage="0" showErrorMessage="0" allowBlank="1" errorTitle="Invalid Entry" error="Please select from the list." type="list">
      <formula1>=Lookups!$I$2:$I$3</formula1>
    </dataValidation>
    <dataValidation sqref="Z2:Z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7.xml><?xml version="1.0" encoding="utf-8"?>
<worksheet xmlns="http://schemas.openxmlformats.org/spreadsheetml/2006/main">
  <sheetPr>
    <tabColor rgb="001F3864"/>
    <outlinePr summaryBelow="1" summaryRight="1"/>
    <pageSetUpPr/>
  </sheetPr>
  <dimension ref="A1:AK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20" customWidth="1" min="7" max="7"/>
    <col width="16" customWidth="1" min="8" max="8"/>
    <col width="22" customWidth="1" min="9" max="9"/>
    <col width="16" customWidth="1" min="10" max="10"/>
    <col width="18" customWidth="1" min="11" max="11"/>
    <col width="14" customWidth="1" min="12" max="12"/>
    <col width="14" customWidth="1" min="13" max="13"/>
    <col width="12" customWidth="1" min="14" max="14"/>
    <col width="12" customWidth="1" min="15" max="15"/>
    <col width="12" customWidth="1" min="16" max="16"/>
    <col width="12" customWidth="1" min="17" max="17"/>
    <col width="20" customWidth="1" min="18" max="18"/>
    <col width="12" customWidth="1" min="19" max="19"/>
    <col width="18" customWidth="1" min="20" max="20"/>
    <col width="14" customWidth="1" min="21" max="21"/>
    <col width="10" customWidth="1" min="22" max="22"/>
    <col width="20" customWidth="1" min="23" max="23"/>
    <col width="12" customWidth="1" min="24" max="24"/>
    <col width="12" customWidth="1" min="25" max="25"/>
    <col width="12" customWidth="1" min="26" max="26"/>
    <col width="18" customWidth="1" min="27" max="27"/>
    <col width="14" customWidth="1" min="28" max="28"/>
    <col width="14" customWidth="1" min="29" max="29"/>
    <col width="12" customWidth="1" min="30" max="30"/>
    <col width="14" customWidth="1" min="31" max="31"/>
    <col width="24" customWidth="1" min="32" max="32"/>
    <col width="24" customWidth="1" min="33" max="33"/>
    <col width="14" customWidth="1" min="34" max="34"/>
    <col width="14" customWidth="1" min="35" max="35"/>
    <col width="14" customWidth="1" min="36" max="36"/>
    <col width="14" customWidth="1" min="37" max="37"/>
  </cols>
  <sheetData>
    <row r="1">
      <c r="A1" s="13" t="inlineStr">
        <is>
          <t>StatementID</t>
        </is>
      </c>
      <c r="B1" s="13" t="inlineStr">
        <is>
          <t>LinkedCaseID</t>
        </is>
      </c>
      <c r="C1" s="13" t="inlineStr">
        <is>
          <t>LinkedWitnessID</t>
        </is>
      </c>
      <c r="D1" s="13" t="inlineStr">
        <is>
          <t>LinkedPersonID</t>
        </is>
      </c>
      <c r="E1" s="13" t="inlineStr">
        <is>
          <t>StatementDate</t>
        </is>
      </c>
      <c r="F1" s="13" t="inlineStr">
        <is>
          <t>StatementTime</t>
        </is>
      </c>
      <c r="G1" s="13" t="inlineStr">
        <is>
          <t>Location</t>
        </is>
      </c>
      <c r="H1" s="13" t="inlineStr">
        <is>
          <t>StatementType</t>
        </is>
      </c>
      <c r="I1" s="13" t="inlineStr">
        <is>
          <t>DeponentName</t>
        </is>
      </c>
      <c r="J1" s="13" t="inlineStr">
        <is>
          <t>DeponentRole</t>
        </is>
      </c>
      <c r="K1" s="13" t="inlineStr">
        <is>
          <t>TakenBy</t>
        </is>
      </c>
      <c r="L1" s="13" t="inlineStr">
        <is>
          <t>TakenByRank</t>
        </is>
      </c>
      <c r="M1" s="13" t="inlineStr">
        <is>
          <t>TakenByBadge</t>
        </is>
      </c>
      <c r="N1" s="13" t="inlineStr">
        <is>
          <t>CautionGiven</t>
        </is>
      </c>
      <c r="O1" s="13" t="inlineStr">
        <is>
          <t>CautionTime</t>
        </is>
      </c>
      <c r="P1" s="13" t="inlineStr">
        <is>
          <t>RightsExplained</t>
        </is>
      </c>
      <c r="Q1" s="13" t="inlineStr">
        <is>
          <t>LegalRepPresent</t>
        </is>
      </c>
      <c r="R1" s="13" t="inlineStr">
        <is>
          <t>LegalRepName</t>
        </is>
      </c>
      <c r="S1" s="13" t="inlineStr">
        <is>
          <t>InterpreterUsed</t>
        </is>
      </c>
      <c r="T1" s="13" t="inlineStr">
        <is>
          <t>InterpreterName</t>
        </is>
      </c>
      <c r="U1" s="13" t="inlineStr">
        <is>
          <t>Language</t>
        </is>
      </c>
      <c r="V1" s="13" t="inlineStr">
        <is>
          <t>StatementPages</t>
        </is>
      </c>
      <c r="W1" s="13" t="inlineStr">
        <is>
          <t>ExhibitsReferenced</t>
        </is>
      </c>
      <c r="X1" s="13" t="inlineStr">
        <is>
          <t>VideoRecorded</t>
        </is>
      </c>
      <c r="Y1" s="13" t="inlineStr">
        <is>
          <t>AudioRecorded</t>
        </is>
      </c>
      <c r="Z1" s="13" t="inlineStr">
        <is>
          <t>DeponentSignature</t>
        </is>
      </c>
      <c r="AA1" s="13" t="inlineStr">
        <is>
          <t>WitnessToSignature</t>
        </is>
      </c>
      <c r="AB1" s="13" t="inlineStr">
        <is>
          <t>DisclosedToProsecution</t>
        </is>
      </c>
      <c r="AC1" s="13" t="inlineStr">
        <is>
          <t>DisclosureDate</t>
        </is>
      </c>
      <c r="AD1" s="13" t="inlineStr">
        <is>
          <t>Retracted</t>
        </is>
      </c>
      <c r="AE1" s="13" t="inlineStr">
        <is>
          <t>RetractionDate</t>
        </is>
      </c>
      <c r="AF1" s="13" t="inlineStr">
        <is>
          <t>RetractionReason</t>
        </is>
      </c>
      <c r="AG1" s="13" t="inlineStr">
        <is>
          <t>Notes</t>
        </is>
      </c>
      <c r="AH1" s="13" t="inlineStr">
        <is>
          <t>CreatedBy</t>
        </is>
      </c>
      <c r="AI1" s="13" t="inlineStr">
        <is>
          <t>CreatedDate</t>
        </is>
      </c>
      <c r="AJ1" s="13" t="inlineStr">
        <is>
          <t>LastUpdatedBy</t>
        </is>
      </c>
      <c r="AK1" s="13" t="inlineStr">
        <is>
          <t>LastUpdatedDate</t>
        </is>
      </c>
    </row>
    <row r="2">
      <c r="A2" s="14">
        <f>IF(B2="","","STMT-"&amp;TEXT(ROW()-1,"0000"))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  <c r="AH2" s="14" t="n"/>
      <c r="AI2" s="14" t="n"/>
      <c r="AJ2" s="14" t="n"/>
      <c r="AK2" s="14" t="n"/>
    </row>
    <row r="3">
      <c r="A3" s="14">
        <f>IF(B3="","","STMT-"&amp;TEXT(ROW()-1,"0000"))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</row>
    <row r="4">
      <c r="A4" s="14">
        <f>IF(B4="","","STMT-"&amp;TEXT(ROW()-1,"0000"))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14" t="n"/>
      <c r="AK4" s="14" t="n"/>
    </row>
    <row r="5">
      <c r="A5" s="14">
        <f>IF(B5="","","STMT-"&amp;TEXT(ROW()-1,"0000"))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 t="n"/>
      <c r="AE5" s="14" t="n"/>
      <c r="AF5" s="14" t="n"/>
      <c r="AG5" s="14" t="n"/>
      <c r="AH5" s="14" t="n"/>
      <c r="AI5" s="14" t="n"/>
      <c r="AJ5" s="14" t="n"/>
      <c r="AK5" s="14" t="n"/>
    </row>
    <row r="6">
      <c r="A6" s="14">
        <f>IF(B6="","","STMT-"&amp;TEXT(ROW()-1,"0000"))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 t="n"/>
      <c r="AG6" s="14" t="n"/>
      <c r="AH6" s="14" t="n"/>
      <c r="AI6" s="14" t="n"/>
      <c r="AJ6" s="14" t="n"/>
      <c r="AK6" s="14" t="n"/>
    </row>
  </sheetData>
  <dataValidations count="9">
    <dataValidation sqref="N2:N1000" showDropDown="0" showInputMessage="0" showErrorMessage="0" allowBlank="1" errorTitle="Invalid Entry" error="Please select from the list." type="list">
      <formula1>=Lookups!$I$2:$I$3</formula1>
    </dataValidation>
    <dataValidation sqref="P2:P1000" showDropDown="0" showInputMessage="0" showErrorMessage="0" allowBlank="1" errorTitle="Invalid Entry" error="Please select from the list." type="list">
      <formula1>=Lookups!$I$2:$I$3</formula1>
    </dataValidation>
    <dataValidation sqref="Q2:Q1000" showDropDown="0" showInputMessage="0" showErrorMessage="0" allowBlank="1" errorTitle="Invalid Entry" error="Please select from the list." type="list">
      <formula1>=Lookups!$I$2:$I$3</formula1>
    </dataValidation>
    <dataValidation sqref="S2:S1000" showDropDown="0" showInputMessage="0" showErrorMessage="0" allowBlank="1" errorTitle="Invalid Entry" error="Please select from the list." type="list">
      <formula1>=Lookups!$I$2:$I$3</formula1>
    </dataValidation>
    <dataValidation sqref="X2:X1000" showDropDown="0" showInputMessage="0" showErrorMessage="0" allowBlank="1" errorTitle="Invalid Entry" error="Please select from the list." type="list">
      <formula1>=Lookups!$I$2:$I$3</formula1>
    </dataValidation>
    <dataValidation sqref="Y2:Y1000" showDropDown="0" showInputMessage="0" showErrorMessage="0" allowBlank="1" errorTitle="Invalid Entry" error="Please select from the list." type="list">
      <formula1>=Lookups!$I$2:$I$3</formula1>
    </dataValidation>
    <dataValidation sqref="Z2:Z1000" showDropDown="0" showInputMessage="0" showErrorMessage="0" allowBlank="1" errorTitle="Invalid Entry" error="Please select from the list." type="list">
      <formula1>=Lookups!$I$2:$I$3</formula1>
    </dataValidation>
    <dataValidation sqref="AA2:AA1000" showDropDown="0" showInputMessage="0" showErrorMessage="0" allowBlank="1" errorTitle="Invalid Entry" error="Please select from the list." type="list">
      <formula1>=Lookups!$I$2:$I$3</formula1>
    </dataValidation>
    <dataValidation sqref="AC2:AC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8.xml><?xml version="1.0" encoding="utf-8"?>
<worksheet xmlns="http://schemas.openxmlformats.org/spreadsheetml/2006/main">
  <sheetPr>
    <tabColor rgb="001F3864"/>
    <outlinePr summaryBelow="1" summaryRight="1"/>
    <pageSetUpPr/>
  </sheetPr>
  <dimension ref="A1:AC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2" customWidth="1" min="4" max="4"/>
    <col width="18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  <col width="14" customWidth="1" min="11" max="11"/>
    <col width="16" customWidth="1" min="12" max="12"/>
    <col width="24" customWidth="1" min="13" max="13"/>
    <col width="18" customWidth="1" min="14" max="14"/>
    <col width="14" customWidth="1" min="15" max="15"/>
    <col width="14" customWidth="1" min="16" max="16"/>
    <col width="14" customWidth="1" min="17" max="17"/>
    <col width="30" customWidth="1" min="18" max="18"/>
    <col width="14" customWidth="1" min="19" max="19"/>
    <col width="18" customWidth="1" min="20" max="20"/>
    <col width="14" customWidth="1" min="21" max="21"/>
    <col width="24" customWidth="1" min="22" max="22"/>
    <col width="24" customWidth="1" min="23" max="23"/>
    <col width="20" customWidth="1" min="24" max="24"/>
    <col width="14" customWidth="1" min="25" max="25"/>
    <col width="14" customWidth="1" min="26" max="26"/>
    <col width="24" customWidth="1" min="27" max="27"/>
    <col width="14" customWidth="1" min="28" max="28"/>
    <col width="14" customWidth="1" min="29" max="29"/>
  </cols>
  <sheetData>
    <row r="1">
      <c r="A1" s="13" t="inlineStr">
        <is>
          <t>AssignmentID</t>
        </is>
      </c>
      <c r="B1" s="13" t="inlineStr">
        <is>
          <t>LinkedCaseID</t>
        </is>
      </c>
      <c r="C1" s="13" t="inlineStr">
        <is>
          <t>AssignmentDate</t>
        </is>
      </c>
      <c r="D1" s="13" t="inlineStr">
        <is>
          <t>AssignmentTime</t>
        </is>
      </c>
      <c r="E1" s="13" t="inlineStr">
        <is>
          <t>AssignedFrom</t>
        </is>
      </c>
      <c r="F1" s="13" t="inlineStr">
        <is>
          <t>AssignedFromRank</t>
        </is>
      </c>
      <c r="G1" s="13" t="inlineStr">
        <is>
          <t>AssignedFromBadge</t>
        </is>
      </c>
      <c r="H1" s="13" t="inlineStr">
        <is>
          <t>AssignedTo</t>
        </is>
      </c>
      <c r="I1" s="13" t="inlineStr">
        <is>
          <t>AssignedToRank</t>
        </is>
      </c>
      <c r="J1" s="13" t="inlineStr">
        <is>
          <t>AssignedToBadge</t>
        </is>
      </c>
      <c r="K1" s="13" t="inlineStr">
        <is>
          <t>AssignedToUnit</t>
        </is>
      </c>
      <c r="L1" s="13" t="inlineStr">
        <is>
          <t>AssignmentType</t>
        </is>
      </c>
      <c r="M1" s="13" t="inlineStr">
        <is>
          <t>Reason</t>
        </is>
      </c>
      <c r="N1" s="13" t="inlineStr">
        <is>
          <t>AuthorizedBy</t>
        </is>
      </c>
      <c r="O1" s="13" t="inlineStr">
        <is>
          <t>AuthorizedByRank</t>
        </is>
      </c>
      <c r="P1" s="13" t="inlineStr">
        <is>
          <t>HandoverBriefingDone</t>
        </is>
      </c>
      <c r="Q1" s="13" t="inlineStr">
        <is>
          <t>HandoverDate</t>
        </is>
      </c>
      <c r="R1" s="13" t="inlineStr">
        <is>
          <t>HandoverNotes</t>
        </is>
      </c>
      <c r="S1" s="13" t="inlineStr">
        <is>
          <t>CaseFileTransferred</t>
        </is>
      </c>
      <c r="T1" s="13" t="inlineStr">
        <is>
          <t>FileCondition</t>
        </is>
      </c>
      <c r="U1" s="13" t="inlineStr">
        <is>
          <t>ExhibitsAccountedFor</t>
        </is>
      </c>
      <c r="V1" s="13" t="inlineStr">
        <is>
          <t>ExhibitDiscrepancies</t>
        </is>
      </c>
      <c r="W1" s="13" t="inlineStr">
        <is>
          <t>PendingActions</t>
        </is>
      </c>
      <c r="X1" s="13" t="inlineStr">
        <is>
          <t>OutstandingLeads</t>
        </is>
      </c>
      <c r="Y1" s="13" t="inlineStr">
        <is>
          <t>AcknowledgedByReceiver</t>
        </is>
      </c>
      <c r="Z1" s="13" t="inlineStr">
        <is>
          <t>AcknowledgementDate</t>
        </is>
      </c>
      <c r="AA1" s="13" t="inlineStr">
        <is>
          <t>Notes</t>
        </is>
      </c>
      <c r="AB1" s="13" t="inlineStr">
        <is>
          <t>CreatedBy</t>
        </is>
      </c>
      <c r="AC1" s="13" t="inlineStr">
        <is>
          <t>CreatedDate</t>
        </is>
      </c>
    </row>
    <row r="2">
      <c r="A2" s="14">
        <f>IF(B2="","","ASGN-"&amp;TEXT(ROW()-1,"0000"))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</row>
    <row r="3">
      <c r="A3" s="14">
        <f>IF(B3="","","ASGN-"&amp;TEXT(ROW()-1,"0000"))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</row>
    <row r="4">
      <c r="A4" s="14">
        <f>IF(B4="","","ASGN-"&amp;TEXT(ROW()-1,"0000"))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</row>
    <row r="5">
      <c r="A5" s="14">
        <f>IF(B5="","","ASGN-"&amp;TEXT(ROW()-1,"0000"))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</row>
    <row r="6">
      <c r="A6" s="14">
        <f>IF(B6="","","ASGN-"&amp;TEXT(ROW()-1,"0000"))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</row>
  </sheetData>
  <dataValidations count="4">
    <dataValidation sqref="P2:P1000" showDropDown="0" showInputMessage="0" showErrorMessage="0" allowBlank="1" errorTitle="Invalid Entry" error="Please select from the list." type="list">
      <formula1>=Lookups!$I$2:$I$3</formula1>
    </dataValidation>
    <dataValidation sqref="S2:S1000" showDropDown="0" showInputMessage="0" showErrorMessage="0" allowBlank="1" errorTitle="Invalid Entry" error="Please select from the list." type="list">
      <formula1>=Lookups!$I$2:$I$3</formula1>
    </dataValidation>
    <dataValidation sqref="U2:U1000" showDropDown="0" showInputMessage="0" showErrorMessage="0" allowBlank="1" errorTitle="Invalid Entry" error="Please select from the list." type="list">
      <formula1>=Lookups!$I$2:$I$3</formula1>
    </dataValidation>
    <dataValidation sqref="Y2:Y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9.xml><?xml version="1.0" encoding="utf-8"?>
<worksheet xmlns="http://schemas.openxmlformats.org/spreadsheetml/2006/main">
  <sheetPr>
    <tabColor rgb="001F3864"/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14" customWidth="1" min="4" max="4"/>
    <col width="12" customWidth="1" min="5" max="5"/>
    <col width="16" customWidth="1" min="6" max="6"/>
    <col width="18" customWidth="1" min="7" max="7"/>
    <col width="14" customWidth="1" min="8" max="8"/>
    <col width="20" customWidth="1" min="9" max="9"/>
    <col width="24" customWidth="1" min="10" max="10"/>
    <col width="12" customWidth="1" min="11" max="11"/>
    <col width="24" customWidth="1" min="12" max="12"/>
    <col width="24" customWidth="1" min="13" max="13"/>
    <col width="14" customWidth="1" min="14" max="14"/>
    <col width="12" customWidth="1" min="15" max="15"/>
    <col width="20" customWidth="1" min="16" max="16"/>
    <col width="14" customWidth="1" min="17" max="17"/>
    <col width="20" customWidth="1" min="18" max="18"/>
    <col width="18" customWidth="1" min="19" max="19"/>
    <col width="14" customWidth="1" min="20" max="20"/>
    <col width="14" customWidth="1" min="21" max="21"/>
    <col width="14" customWidth="1" min="22" max="22"/>
    <col width="24" customWidth="1" min="23" max="23"/>
    <col width="14" customWidth="1" min="24" max="24"/>
    <col width="14" customWidth="1" min="25" max="25"/>
  </cols>
  <sheetData>
    <row r="1">
      <c r="A1" s="13" t="inlineStr">
        <is>
          <t>ContactID</t>
        </is>
      </c>
      <c r="B1" s="13" t="inlineStr">
        <is>
          <t>LinkedCaseID</t>
        </is>
      </c>
      <c r="C1" s="13" t="inlineStr">
        <is>
          <t>VictimName</t>
        </is>
      </c>
      <c r="D1" s="13" t="inlineStr">
        <is>
          <t>ContactDate</t>
        </is>
      </c>
      <c r="E1" s="13" t="inlineStr">
        <is>
          <t>ContactTime</t>
        </is>
      </c>
      <c r="F1" s="13" t="inlineStr">
        <is>
          <t>ContactMethod</t>
        </is>
      </c>
      <c r="G1" s="13" t="inlineStr">
        <is>
          <t>ContactedBy</t>
        </is>
      </c>
      <c r="H1" s="13" t="inlineStr">
        <is>
          <t>ContactedByRank</t>
        </is>
      </c>
      <c r="I1" s="13" t="inlineStr">
        <is>
          <t>Purpose</t>
        </is>
      </c>
      <c r="J1" s="13" t="inlineStr">
        <is>
          <t>UpdateProvided</t>
        </is>
      </c>
      <c r="K1" s="13" t="inlineStr">
        <is>
          <t>VictimSatisfied</t>
        </is>
      </c>
      <c r="L1" s="13" t="inlineStr">
        <is>
          <t>ConcernsRaised</t>
        </is>
      </c>
      <c r="M1" s="13" t="inlineStr">
        <is>
          <t>ActionRequired</t>
        </is>
      </c>
      <c r="N1" s="13" t="inlineStr">
        <is>
          <t>ActionDueDate</t>
        </is>
      </c>
      <c r="O1" s="13" t="inlineStr">
        <is>
          <t>ReferralMade</t>
        </is>
      </c>
      <c r="P1" s="13" t="inlineStr">
        <is>
          <t>ReferralAgency</t>
        </is>
      </c>
      <c r="Q1" s="13" t="inlineStr">
        <is>
          <t>ReferralDate</t>
        </is>
      </c>
      <c r="R1" s="13" t="inlineStr">
        <is>
          <t>VictimImpactAssessment</t>
        </is>
      </c>
      <c r="S1" s="13" t="inlineStr">
        <is>
          <t>SafetyConcerns</t>
        </is>
      </c>
      <c r="T1" s="13" t="inlineStr">
        <is>
          <t>SafetyPlanInPlace</t>
        </is>
      </c>
      <c r="U1" s="13" t="inlineStr">
        <is>
          <t>NextScheduledContact</t>
        </is>
      </c>
      <c r="V1" s="13" t="inlineStr">
        <is>
          <t>ContactFrequency</t>
        </is>
      </c>
      <c r="W1" s="13" t="inlineStr">
        <is>
          <t>Notes</t>
        </is>
      </c>
      <c r="X1" s="13" t="inlineStr">
        <is>
          <t>CreatedBy</t>
        </is>
      </c>
      <c r="Y1" s="13" t="inlineStr">
        <is>
          <t>CreatedDate</t>
        </is>
      </c>
    </row>
    <row r="2">
      <c r="A2" s="14">
        <f>IF(B2="","","VCON-"&amp;TEXT(ROW()-1,"0000"))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</row>
    <row r="3">
      <c r="A3" s="14">
        <f>IF(B3="","","VCON-"&amp;TEXT(ROW()-1,"0000"))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</row>
    <row r="4">
      <c r="A4" s="14">
        <f>IF(B4="","","VCON-"&amp;TEXT(ROW()-1,"0000"))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</row>
    <row r="5">
      <c r="A5" s="14">
        <f>IF(B5="","","VCON-"&amp;TEXT(ROW()-1,"0000"))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</row>
    <row r="6">
      <c r="A6" s="14">
        <f>IF(B6="","","VCON-"&amp;TEXT(ROW()-1,"0000"))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</row>
  </sheetData>
  <conditionalFormatting sqref="U2:U1000">
    <cfRule type="expression" priority="1" dxfId="0">
      <formula>=AND(U2&lt;&gt;"",U2&lt;TODAY())</formula>
    </cfRule>
  </conditionalFormatting>
  <conditionalFormatting sqref="N2:N1000">
    <cfRule type="expression" priority="2" dxfId="0">
      <formula>=AND(N2&lt;&gt;"",N2&lt;TODAY())</formula>
    </cfRule>
  </conditionalFormatting>
  <dataValidations count="3">
    <dataValidation sqref="K2:K1000" showDropDown="0" showInputMessage="0" showErrorMessage="0" allowBlank="1" errorTitle="Invalid Entry" error="Please select from the list." type="list">
      <formula1>=Lookups!$I$2:$I$3</formula1>
    </dataValidation>
    <dataValidation sqref="O2:O1000" showDropDown="0" showInputMessage="0" showErrorMessage="0" allowBlank="1" errorTitle="Invalid Entry" error="Please select from the list." type="list">
      <formula1>=Lookups!$I$2:$I$3</formula1>
    </dataValidation>
    <dataValidation sqref="T2:T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0.xml><?xml version="1.0" encoding="utf-8"?>
<worksheet xmlns="http://schemas.openxmlformats.org/spreadsheetml/2006/main">
  <sheetPr>
    <tabColor rgb="001F3864"/>
    <outlinePr summaryBelow="1" summaryRight="1"/>
    <pageSetUpPr/>
  </sheetPr>
  <dimension ref="A1:AI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4" customWidth="1" min="4" max="4"/>
    <col width="18" customWidth="1" min="5" max="5"/>
    <col width="14" customWidth="1" min="6" max="6"/>
    <col width="18" customWidth="1" min="7" max="7"/>
    <col width="14" customWidth="1" min="8" max="8"/>
    <col width="36" customWidth="1" min="9" max="9"/>
    <col width="36" customWidth="1" min="10" max="10"/>
    <col width="36" customWidth="1" min="11" max="11"/>
    <col width="30" customWidth="1" min="12" max="12"/>
    <col width="24" customWidth="1" min="13" max="13"/>
    <col width="24" customWidth="1" min="14" max="14"/>
    <col width="24" customWidth="1" min="15" max="15"/>
    <col width="14" customWidth="1" min="16" max="16"/>
    <col width="14" customWidth="1" min="17" max="17"/>
    <col width="14" customWidth="1" min="18" max="18"/>
    <col width="20" customWidth="1" min="19" max="19"/>
    <col width="24" customWidth="1" min="20" max="20"/>
    <col width="14" customWidth="1" min="21" max="21"/>
    <col width="30" customWidth="1" min="22" max="22"/>
    <col width="24" customWidth="1" min="23" max="23"/>
    <col width="24" customWidth="1" min="24" max="24"/>
    <col width="24" customWidth="1" min="25" max="25"/>
    <col width="20" customWidth="1" min="26" max="26"/>
    <col width="16" customWidth="1" min="27" max="27"/>
    <col width="14" customWidth="1" min="28" max="28"/>
    <col width="14" customWidth="1" min="29" max="29"/>
    <col width="14" customWidth="1" min="30" max="30"/>
    <col width="24" customWidth="1" min="31" max="31"/>
    <col width="14" customWidth="1" min="32" max="32"/>
    <col width="14" customWidth="1" min="33" max="33"/>
    <col width="14" customWidth="1" min="34" max="34"/>
    <col width="14" customWidth="1" min="35" max="35"/>
  </cols>
  <sheetData>
    <row r="1">
      <c r="A1" s="13" t="inlineStr">
        <is>
          <t>PlanID</t>
        </is>
      </c>
      <c r="B1" s="13" t="inlineStr">
        <is>
          <t>LinkedCaseID</t>
        </is>
      </c>
      <c r="C1" s="13" t="inlineStr">
        <is>
          <t>PlanVersion</t>
        </is>
      </c>
      <c r="D1" s="13" t="inlineStr">
        <is>
          <t>PlanDate</t>
        </is>
      </c>
      <c r="E1" s="13" t="inlineStr">
        <is>
          <t>PreparedBy</t>
        </is>
      </c>
      <c r="F1" s="13" t="inlineStr">
        <is>
          <t>PreparedByRank</t>
        </is>
      </c>
      <c r="G1" s="13" t="inlineStr">
        <is>
          <t>ApprovedBy</t>
        </is>
      </c>
      <c r="H1" s="13" t="inlineStr">
        <is>
          <t>ApprovalDate</t>
        </is>
      </c>
      <c r="I1" s="13" t="inlineStr">
        <is>
          <t>Hypothesis</t>
        </is>
      </c>
      <c r="J1" s="13" t="inlineStr">
        <is>
          <t>ObjectivesOfInvestigation</t>
        </is>
      </c>
      <c r="K1" s="13" t="inlineStr">
        <is>
          <t>LinesOfEnquiry</t>
        </is>
      </c>
      <c r="L1" s="13" t="inlineStr">
        <is>
          <t>KeyEvidenceRequired</t>
        </is>
      </c>
      <c r="M1" s="13" t="inlineStr">
        <is>
          <t>WitnessesToInterview</t>
        </is>
      </c>
      <c r="N1" s="13" t="inlineStr">
        <is>
          <t>SuspectsToInterview</t>
        </is>
      </c>
      <c r="O1" s="13" t="inlineStr">
        <is>
          <t>ForensicRequirements</t>
        </is>
      </c>
      <c r="P1" s="13" t="inlineStr">
        <is>
          <t>SurveillanceRequired</t>
        </is>
      </c>
      <c r="Q1" s="13" t="inlineStr">
        <is>
          <t>SearchesPlanned</t>
        </is>
      </c>
      <c r="R1" s="13" t="inlineStr">
        <is>
          <t>WarrantsRequired</t>
        </is>
      </c>
      <c r="S1" s="13" t="inlineStr">
        <is>
          <t>InterAgencySupport</t>
        </is>
      </c>
      <c r="T1" s="13" t="inlineStr">
        <is>
          <t>ResourcesRequired</t>
        </is>
      </c>
      <c r="U1" s="13" t="inlineStr">
        <is>
          <t>TimelineTarget</t>
        </is>
      </c>
      <c r="V1" s="13" t="inlineStr">
        <is>
          <t>MilestonesPlanned</t>
        </is>
      </c>
      <c r="W1" s="13" t="inlineStr">
        <is>
          <t>RiskAssessment</t>
        </is>
      </c>
      <c r="X1" s="13" t="inlineStr">
        <is>
          <t>OfficerSafetyConsiderations</t>
        </is>
      </c>
      <c r="Y1" s="13" t="inlineStr">
        <is>
          <t>LegalConsiderations</t>
        </is>
      </c>
      <c r="Z1" s="13" t="inlineStr">
        <is>
          <t>DisclosureObligations</t>
        </is>
      </c>
      <c r="AA1" s="13" t="inlineStr">
        <is>
          <t>ReviewSchedule</t>
        </is>
      </c>
      <c r="AB1" s="13" t="inlineStr">
        <is>
          <t>NextReviewDate</t>
        </is>
      </c>
      <c r="AC1" s="13" t="inlineStr">
        <is>
          <t>PlanStatus</t>
        </is>
      </c>
      <c r="AD1" s="13" t="inlineStr">
        <is>
          <t>LastRevisedDate</t>
        </is>
      </c>
      <c r="AE1" s="13" t="inlineStr">
        <is>
          <t>Notes</t>
        </is>
      </c>
      <c r="AF1" s="13" t="inlineStr">
        <is>
          <t>CreatedBy</t>
        </is>
      </c>
      <c r="AG1" s="13" t="inlineStr">
        <is>
          <t>CreatedDate</t>
        </is>
      </c>
      <c r="AH1" s="13" t="inlineStr">
        <is>
          <t>LastUpdatedBy</t>
        </is>
      </c>
      <c r="AI1" s="13" t="inlineStr">
        <is>
          <t>LastUpdatedDate</t>
        </is>
      </c>
    </row>
    <row r="2">
      <c r="A2" s="14">
        <f>IF(B2="","","IPLAN-"&amp;TEXT(ROW()-1,"0000"))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/>
      <c r="AH2" s="14" t="n"/>
      <c r="AI2" s="14" t="n"/>
    </row>
    <row r="3">
      <c r="A3" s="14">
        <f>IF(B3="","","IPLAN-"&amp;TEXT(ROW()-1,"0000"))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</row>
    <row r="4">
      <c r="A4" s="14">
        <f>IF(B4="","","IPLAN-"&amp;TEXT(ROW()-1,"0000"))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</row>
    <row r="5">
      <c r="A5" s="14">
        <f>IF(B5="","","IPLAN-"&amp;TEXT(ROW()-1,"0000"))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 t="n"/>
      <c r="AE5" s="14" t="n"/>
      <c r="AF5" s="14" t="n"/>
      <c r="AG5" s="14" t="n"/>
      <c r="AH5" s="14" t="n"/>
      <c r="AI5" s="14" t="n"/>
    </row>
    <row r="6">
      <c r="A6" s="14">
        <f>IF(B6="","","IPLAN-"&amp;TEXT(ROW()-1,"0000"))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 t="n"/>
      <c r="AG6" s="14" t="n"/>
      <c r="AH6" s="14" t="n"/>
      <c r="AI6" s="14" t="n"/>
    </row>
  </sheetData>
  <conditionalFormatting sqref="AB2:AB1000">
    <cfRule type="expression" priority="1" dxfId="0">
      <formula>=AND(AB2&lt;&gt;"",AB2&lt;TODAY())</formula>
    </cfRule>
  </conditionalFormatting>
  <dataValidations count="2">
    <dataValidation sqref="P2:P1000" showDropDown="0" showInputMessage="0" showErrorMessage="0" allowBlank="1" errorTitle="Invalid Entry" error="Please select from the list." type="list">
      <formula1>=Lookups!$I$2:$I$3</formula1>
    </dataValidation>
    <dataValidation sqref="R2:R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1.xml><?xml version="1.0" encoding="utf-8"?>
<worksheet xmlns="http://schemas.openxmlformats.org/spreadsheetml/2006/main">
  <sheetPr>
    <tabColor rgb="001F3864"/>
    <outlinePr summaryBelow="1" summaryRight="1"/>
    <pageSetUpPr/>
  </sheetPr>
  <dimension ref="A1:AN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2" customWidth="1" min="5" max="5"/>
    <col width="12" customWidth="1" min="6" max="6"/>
    <col width="12" customWidth="1" min="7" max="7"/>
    <col width="14" customWidth="1" min="8" max="8"/>
    <col width="14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4" customWidth="1" min="15" max="15"/>
    <col width="14" customWidth="1" min="16" max="16"/>
    <col width="14" customWidth="1" min="17" max="17"/>
    <col width="12" customWidth="1" min="18" max="18"/>
    <col width="12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2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24" customWidth="1" min="38" max="38"/>
    <col width="14" customWidth="1" min="39" max="39"/>
    <col width="14" customWidth="1" min="40" max="40"/>
  </cols>
  <sheetData>
    <row r="1">
      <c r="A1" s="13" t="inlineStr">
        <is>
          <t>ChecklistID</t>
        </is>
      </c>
      <c r="B1" s="13" t="inlineStr">
        <is>
          <t>LinkedCaseID</t>
        </is>
      </c>
      <c r="C1" s="13" t="inlineStr">
        <is>
          <t>ReviewDate</t>
        </is>
      </c>
      <c r="D1" s="13" t="inlineStr">
        <is>
          <t>ReviewedBy</t>
        </is>
      </c>
      <c r="E1" s="13" t="inlineStr">
        <is>
          <t>CR1_Present</t>
        </is>
      </c>
      <c r="F1" s="13" t="inlineStr">
        <is>
          <t>CR2_Present</t>
        </is>
      </c>
      <c r="G1" s="13" t="inlineStr">
        <is>
          <t>CR5_Present</t>
        </is>
      </c>
      <c r="H1" s="13" t="inlineStr">
        <is>
          <t>StationDiaryExtract</t>
        </is>
      </c>
      <c r="I1" s="13" t="inlineStr">
        <is>
          <t>InvestigationPlan</t>
        </is>
      </c>
      <c r="J1" s="13" t="inlineStr">
        <is>
          <t>AllStatementsPresent</t>
        </is>
      </c>
      <c r="K1" s="13" t="inlineStr">
        <is>
          <t>StatementCount</t>
        </is>
      </c>
      <c r="L1" s="13" t="inlineStr">
        <is>
          <t>CautionStatementPresent</t>
        </is>
      </c>
      <c r="M1" s="13" t="inlineStr">
        <is>
          <t>ChargeSheet</t>
        </is>
      </c>
      <c r="N1" s="13" t="inlineStr">
        <is>
          <t>ExhibitRegisterComplete</t>
        </is>
      </c>
      <c r="O1" s="13" t="inlineStr">
        <is>
          <t>ChainOfCustodyComplete</t>
        </is>
      </c>
      <c r="P1" s="13" t="inlineStr">
        <is>
          <t>ForensicReportsReceived</t>
        </is>
      </c>
      <c r="Q1" s="13" t="inlineStr">
        <is>
          <t>ForensicReportsCount</t>
        </is>
      </c>
      <c r="R1" s="13" t="inlineStr">
        <is>
          <t>ScenePhotos</t>
        </is>
      </c>
      <c r="S1" s="13" t="inlineStr">
        <is>
          <t>SceneSketch</t>
        </is>
      </c>
      <c r="T1" s="13" t="inlineStr">
        <is>
          <t>SceneReport</t>
        </is>
      </c>
      <c r="U1" s="13" t="inlineStr">
        <is>
          <t>WitnessList</t>
        </is>
      </c>
      <c r="V1" s="13" t="inlineStr">
        <is>
          <t>WitnessSummonses</t>
        </is>
      </c>
      <c r="W1" s="13" t="inlineStr">
        <is>
          <t>WitnessAvailabilityConfirmed</t>
        </is>
      </c>
      <c r="X1" s="13" t="inlineStr">
        <is>
          <t>ProsecutionBrief</t>
        </is>
      </c>
      <c r="Y1" s="13" t="inlineStr">
        <is>
          <t>DisclosureComplete</t>
        </is>
      </c>
      <c r="Z1" s="13" t="inlineStr">
        <is>
          <t>SuspectCautionRecord</t>
        </is>
      </c>
      <c r="AA1" s="13" t="inlineStr">
        <is>
          <t>SuspectInterviewRecord</t>
        </is>
      </c>
      <c r="AB1" s="13" t="inlineStr">
        <is>
          <t>IdentificationEvidence</t>
        </is>
      </c>
      <c r="AC1" s="13" t="inlineStr">
        <is>
          <t>AlibiChecked</t>
        </is>
      </c>
      <c r="AD1" s="13" t="inlineStr">
        <is>
          <t>SupervisoryEndorsements</t>
        </is>
      </c>
      <c r="AE1" s="13" t="inlineStr">
        <is>
          <t>CommandConferenceNotes</t>
        </is>
      </c>
      <c r="AF1" s="13" t="inlineStr">
        <is>
          <t>CorrespondenceFileFiled</t>
        </is>
      </c>
      <c r="AG1" s="13" t="inlineStr">
        <is>
          <t>VictimContactLog</t>
        </is>
      </c>
      <c r="AH1" s="13" t="inlineStr">
        <is>
          <t>TotalItemsChecked</t>
        </is>
      </c>
      <c r="AI1" s="13" t="inlineStr">
        <is>
          <t>TotalItemsPresent</t>
        </is>
      </c>
      <c r="AJ1" s="13" t="inlineStr">
        <is>
          <t>CompletenessScore</t>
        </is>
      </c>
      <c r="AK1" s="13" t="inlineStr">
        <is>
          <t>FileStatus</t>
        </is>
      </c>
      <c r="AL1" s="13" t="inlineStr">
        <is>
          <t>Notes</t>
        </is>
      </c>
      <c r="AM1" s="13" t="inlineStr">
        <is>
          <t>CreatedBy</t>
        </is>
      </c>
      <c r="AN1" s="13" t="inlineStr">
        <is>
          <t>CreatedDate</t>
        </is>
      </c>
    </row>
    <row r="2">
      <c r="A2" s="14">
        <f>IF(B2="","","FCHK-"&amp;TEXT(ROW()-1,"0000"))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  <c r="AF2" s="14" t="n"/>
      <c r="AG2" s="14" t="n">
        <v>28</v>
      </c>
      <c r="AH2" s="14">
        <f>COUNTIF(E2:AF2,"Yes")</f>
        <v/>
      </c>
      <c r="AI2" s="16">
        <f>IF(AG2=0,"",AH2/AG2)</f>
        <v/>
      </c>
      <c r="AJ2" s="14">
        <f>IF(AI2="","",IF(AI2&gt;=0.95,"Complete",IF(AI2&gt;=0.75,"Substantially Complete",IF(AI2&gt;=0.5,"Incomplete","Critically Incomplete"))))</f>
        <v/>
      </c>
      <c r="AK2" s="14" t="n"/>
      <c r="AL2" s="14" t="n"/>
      <c r="AM2" s="14" t="n"/>
      <c r="AN2" s="14" t="n"/>
    </row>
    <row r="3">
      <c r="A3" s="14">
        <f>IF(B3="","","FCHK-"&amp;TEXT(ROW()-1,"0000"))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>
        <v>28</v>
      </c>
      <c r="AH3" s="14">
        <f>COUNTIF(E3:AF3,"Yes")</f>
        <v/>
      </c>
      <c r="AI3" s="16">
        <f>IF(AG3=0,"",AH3/AG3)</f>
        <v/>
      </c>
      <c r="AJ3" s="14">
        <f>IF(AI3="","",IF(AI3&gt;=0.95,"Complete",IF(AI3&gt;=0.75,"Substantially Complete",IF(AI3&gt;=0.5,"Incomplete","Critically Incomplete"))))</f>
        <v/>
      </c>
      <c r="AK3" s="14" t="n"/>
      <c r="AL3" s="14" t="n"/>
      <c r="AM3" s="14" t="n"/>
      <c r="AN3" s="14" t="n"/>
    </row>
    <row r="4">
      <c r="A4" s="14">
        <f>IF(B4="","","FCHK-"&amp;TEXT(ROW()-1,"0000"))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>
        <v>28</v>
      </c>
      <c r="AH4" s="14">
        <f>COUNTIF(E4:AF4,"Yes")</f>
        <v/>
      </c>
      <c r="AI4" s="16">
        <f>IF(AG4=0,"",AH4/AG4)</f>
        <v/>
      </c>
      <c r="AJ4" s="14">
        <f>IF(AI4="","",IF(AI4&gt;=0.95,"Complete",IF(AI4&gt;=0.75,"Substantially Complete",IF(AI4&gt;=0.5,"Incomplete","Critically Incomplete"))))</f>
        <v/>
      </c>
      <c r="AK4" s="14" t="n"/>
      <c r="AL4" s="14" t="n"/>
      <c r="AM4" s="14" t="n"/>
      <c r="AN4" s="14" t="n"/>
    </row>
    <row r="5">
      <c r="A5" s="14">
        <f>IF(B5="","","FCHK-"&amp;TEXT(ROW()-1,"0000"))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 t="n"/>
      <c r="AE5" s="14" t="n"/>
      <c r="AF5" s="14" t="n"/>
      <c r="AG5" s="14" t="n">
        <v>28</v>
      </c>
      <c r="AH5" s="14">
        <f>COUNTIF(E5:AF5,"Yes")</f>
        <v/>
      </c>
      <c r="AI5" s="16">
        <f>IF(AG5=0,"",AH5/AG5)</f>
        <v/>
      </c>
      <c r="AJ5" s="14">
        <f>IF(AI5="","",IF(AI5&gt;=0.95,"Complete",IF(AI5&gt;=0.75,"Substantially Complete",IF(AI5&gt;=0.5,"Incomplete","Critically Incomplete"))))</f>
        <v/>
      </c>
      <c r="AK5" s="14" t="n"/>
      <c r="AL5" s="14" t="n"/>
      <c r="AM5" s="14" t="n"/>
      <c r="AN5" s="14" t="n"/>
    </row>
    <row r="6">
      <c r="A6" s="14">
        <f>IF(B6="","","FCHK-"&amp;TEXT(ROW()-1,"0000"))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  <c r="AE6" s="14" t="n"/>
      <c r="AF6" s="14" t="n"/>
      <c r="AG6" s="14" t="n">
        <v>28</v>
      </c>
      <c r="AH6" s="14">
        <f>COUNTIF(E6:AF6,"Yes")</f>
        <v/>
      </c>
      <c r="AI6" s="16">
        <f>IF(AG6=0,"",AH6/AG6)</f>
        <v/>
      </c>
      <c r="AJ6" s="14">
        <f>IF(AI6="","",IF(AI6&gt;=0.95,"Complete",IF(AI6&gt;=0.75,"Substantially Complete",IF(AI6&gt;=0.5,"Incomplete","Critically Incomplete"))))</f>
        <v/>
      </c>
      <c r="AK6" s="14" t="n"/>
      <c r="AL6" s="14" t="n"/>
      <c r="AM6" s="14" t="n"/>
      <c r="AN6" s="14" t="n"/>
    </row>
  </sheetData>
  <conditionalFormatting sqref="AI2:AI1000">
    <cfRule type="expression" priority="1" dxfId="2">
      <formula>=AND(AI2&lt;&gt;"",AI2&gt;=0.95)</formula>
    </cfRule>
    <cfRule type="expression" priority="2" dxfId="1">
      <formula>=AND(AI2&lt;&gt;"",AI2&gt;=0.5,AI2&lt;0.95)</formula>
    </cfRule>
    <cfRule type="expression" priority="3" dxfId="0">
      <formula>=AND(AI2&lt;&gt;"",AI2&lt;0.5)</formula>
    </cfRule>
  </conditionalFormatting>
  <dataValidations count="26">
    <dataValidation sqref="E2:E1000" showDropDown="0" showInputMessage="0" showErrorMessage="0" allowBlank="1" errorTitle="Invalid Entry" error="Please select from the list." type="list">
      <formula1>=Lookups!$I$2:$I$3</formula1>
    </dataValidation>
    <dataValidation sqref="F2:F1000" showDropDown="0" showInputMessage="0" showErrorMessage="0" allowBlank="1" errorTitle="Invalid Entry" error="Please select from the list." type="list">
      <formula1>=Lookups!$I$2:$I$3</formula1>
    </dataValidation>
    <dataValidation sqref="G2:G1000" showDropDown="0" showInputMessage="0" showErrorMessage="0" allowBlank="1" errorTitle="Invalid Entry" error="Please select from the list." type="list">
      <formula1>=Lookups!$I$2:$I$3</formula1>
    </dataValidation>
    <dataValidation sqref="H2:H1000" showDropDown="0" showInputMessage="0" showErrorMessage="0" allowBlank="1" errorTitle="Invalid Entry" error="Please select from the list." type="list">
      <formula1>=Lookups!$I$2:$I$3</formula1>
    </dataValidation>
    <dataValidation sqref="I2:I1000" showDropDown="0" showInputMessage="0" showErrorMessage="0" allowBlank="1" errorTitle="Invalid Entry" error="Please select from the list." type="list">
      <formula1>=Lookups!$I$2:$I$3</formula1>
    </dataValidation>
    <dataValidation sqref="J2:J1000" showDropDown="0" showInputMessage="0" showErrorMessage="0" allowBlank="1" errorTitle="Invalid Entry" error="Please select from the list." type="list">
      <formula1>=Lookups!$I$2:$I$3</formula1>
    </dataValidation>
    <dataValidation sqref="L2:L1000" showDropDown="0" showInputMessage="0" showErrorMessage="0" allowBlank="1" errorTitle="Invalid Entry" error="Please select from the list." type="list">
      <formula1>=Lookups!$I$2:$I$3</formula1>
    </dataValidation>
    <dataValidation sqref="M2:M1000" showDropDown="0" showInputMessage="0" showErrorMessage="0" allowBlank="1" errorTitle="Invalid Entry" error="Please select from the list." type="list">
      <formula1>=Lookups!$I$2:$I$3</formula1>
    </dataValidation>
    <dataValidation sqref="N2:N1000" showDropDown="0" showInputMessage="0" showErrorMessage="0" allowBlank="1" errorTitle="Invalid Entry" error="Please select from the list." type="list">
      <formula1>=Lookups!$I$2:$I$3</formula1>
    </dataValidation>
    <dataValidation sqref="O2:O1000" showDropDown="0" showInputMessage="0" showErrorMessage="0" allowBlank="1" errorTitle="Invalid Entry" error="Please select from the list." type="list">
      <formula1>=Lookups!$I$2:$I$3</formula1>
    </dataValidation>
    <dataValidation sqref="P2:P1000" showDropDown="0" showInputMessage="0" showErrorMessage="0" allowBlank="1" errorTitle="Invalid Entry" error="Please select from the list." type="list">
      <formula1>=Lookups!$I$2:$I$3</formula1>
    </dataValidation>
    <dataValidation sqref="R2:R1000" showDropDown="0" showInputMessage="0" showErrorMessage="0" allowBlank="1" errorTitle="Invalid Entry" error="Please select from the list." type="list">
      <formula1>=Lookups!$I$2:$I$3</formula1>
    </dataValidation>
    <dataValidation sqref="S2:S1000" showDropDown="0" showInputMessage="0" showErrorMessage="0" allowBlank="1" errorTitle="Invalid Entry" error="Please select from the list." type="list">
      <formula1>=Lookups!$I$2:$I$3</formula1>
    </dataValidation>
    <dataValidation sqref="T2:T1000" showDropDown="0" showInputMessage="0" showErrorMessage="0" allowBlank="1" errorTitle="Invalid Entry" error="Please select from the list." type="list">
      <formula1>=Lookups!$I$2:$I$3</formula1>
    </dataValidation>
    <dataValidation sqref="U2:U1000" showDropDown="0" showInputMessage="0" showErrorMessage="0" allowBlank="1" errorTitle="Invalid Entry" error="Please select from the list." type="list">
      <formula1>=Lookups!$I$2:$I$3</formula1>
    </dataValidation>
    <dataValidation sqref="V2:V1000" showDropDown="0" showInputMessage="0" showErrorMessage="0" allowBlank="1" errorTitle="Invalid Entry" error="Please select from the list." type="list">
      <formula1>=Lookups!$I$2:$I$3</formula1>
    </dataValidation>
    <dataValidation sqref="W2:W1000" showDropDown="0" showInputMessage="0" showErrorMessage="0" allowBlank="1" errorTitle="Invalid Entry" error="Please select from the list." type="list">
      <formula1>=Lookups!$I$2:$I$3</formula1>
    </dataValidation>
    <dataValidation sqref="X2:X1000" showDropDown="0" showInputMessage="0" showErrorMessage="0" allowBlank="1" errorTitle="Invalid Entry" error="Please select from the list." type="list">
      <formula1>=Lookups!$I$2:$I$3</formula1>
    </dataValidation>
    <dataValidation sqref="Y2:Y1000" showDropDown="0" showInputMessage="0" showErrorMessage="0" allowBlank="1" errorTitle="Invalid Entry" error="Please select from the list." type="list">
      <formula1>=Lookups!$I$2:$I$3</formula1>
    </dataValidation>
    <dataValidation sqref="Z2:Z1000" showDropDown="0" showInputMessage="0" showErrorMessage="0" allowBlank="1" errorTitle="Invalid Entry" error="Please select from the list." type="list">
      <formula1>=Lookups!$I$2:$I$3</formula1>
    </dataValidation>
    <dataValidation sqref="AA2:AA1000" showDropDown="0" showInputMessage="0" showErrorMessage="0" allowBlank="1" errorTitle="Invalid Entry" error="Please select from the list." type="list">
      <formula1>=Lookups!$I$2:$I$3</formula1>
    </dataValidation>
    <dataValidation sqref="AB2:AB1000" showDropDown="0" showInputMessage="0" showErrorMessage="0" allowBlank="1" errorTitle="Invalid Entry" error="Please select from the list." type="list">
      <formula1>=Lookups!$I$2:$I$3</formula1>
    </dataValidation>
    <dataValidation sqref="AC2:AC1000" showDropDown="0" showInputMessage="0" showErrorMessage="0" allowBlank="1" errorTitle="Invalid Entry" error="Please select from the list." type="list">
      <formula1>=Lookups!$I$2:$I$3</formula1>
    </dataValidation>
    <dataValidation sqref="AD2:AD1000" showDropDown="0" showInputMessage="0" showErrorMessage="0" allowBlank="1" errorTitle="Invalid Entry" error="Please select from the list." type="list">
      <formula1>=Lookups!$I$2:$I$3</formula1>
    </dataValidation>
    <dataValidation sqref="AE2:AE1000" showDropDown="0" showInputMessage="0" showErrorMessage="0" allowBlank="1" errorTitle="Invalid Entry" error="Please select from the list." type="list">
      <formula1>=Lookups!$I$2:$I$3</formula1>
    </dataValidation>
    <dataValidation sqref="AF2:AF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2.xml><?xml version="1.0" encoding="utf-8"?>
<worksheet xmlns="http://schemas.openxmlformats.org/spreadsheetml/2006/main">
  <sheetPr>
    <tabColor rgb="001F3864"/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  <col width="28" customWidth="1" min="5" max="5"/>
    <col width="14" customWidth="1" min="6" max="6"/>
    <col width="14" customWidth="1" min="7" max="7"/>
    <col width="20" customWidth="1" min="8" max="8"/>
    <col width="16" customWidth="1" min="9" max="9"/>
    <col width="18" customWidth="1" min="10" max="10"/>
    <col width="14" customWidth="1" min="11" max="11"/>
    <col width="14" customWidth="1" min="12" max="12"/>
    <col width="14" customWidth="1" min="13" max="13"/>
    <col width="14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4" customWidth="1" min="23" max="23"/>
    <col width="24" customWidth="1" min="24" max="24"/>
    <col width="14" customWidth="1" min="25" max="25"/>
    <col width="14" customWidth="1" min="26" max="26"/>
  </cols>
  <sheetData>
    <row r="1">
      <c r="A1" s="13" t="inlineStr">
        <is>
          <t>DisclosureID</t>
        </is>
      </c>
      <c r="B1" s="13" t="inlineStr">
        <is>
          <t>LinkedCaseID</t>
        </is>
      </c>
      <c r="C1" s="13" t="inlineStr">
        <is>
          <t>DisclosureDate</t>
        </is>
      </c>
      <c r="D1" s="13" t="inlineStr">
        <is>
          <t>MaterialType</t>
        </is>
      </c>
      <c r="E1" s="13" t="inlineStr">
        <is>
          <t>MaterialDescription</t>
        </is>
      </c>
      <c r="F1" s="13" t="inlineStr">
        <is>
          <t>ExhibitRef</t>
        </is>
      </c>
      <c r="G1" s="13" t="inlineStr">
        <is>
          <t>StatementRef</t>
        </is>
      </c>
      <c r="H1" s="13" t="inlineStr">
        <is>
          <t>DisclosedTo</t>
        </is>
      </c>
      <c r="I1" s="13" t="inlineStr">
        <is>
          <t>DisclosedToRole</t>
        </is>
      </c>
      <c r="J1" s="13" t="inlineStr">
        <is>
          <t>DisclosedBy</t>
        </is>
      </c>
      <c r="K1" s="13" t="inlineStr">
        <is>
          <t>DisclosedByRank</t>
        </is>
      </c>
      <c r="L1" s="13" t="inlineStr">
        <is>
          <t>Method</t>
        </is>
      </c>
      <c r="M1" s="13" t="inlineStr">
        <is>
          <t>ReceiptAcknowledged</t>
        </is>
      </c>
      <c r="N1" s="13" t="inlineStr">
        <is>
          <t>AcknowledgementDate</t>
        </is>
      </c>
      <c r="O1" s="13" t="inlineStr">
        <is>
          <t>Sensitive</t>
        </is>
      </c>
      <c r="P1" s="13" t="inlineStr">
        <is>
          <t>PIIMaterial</t>
        </is>
      </c>
      <c r="Q1" s="13" t="inlineStr">
        <is>
          <t>RedactionRequired</t>
        </is>
      </c>
      <c r="R1" s="13" t="inlineStr">
        <is>
          <t>RedactionDone</t>
        </is>
      </c>
      <c r="S1" s="13" t="inlineStr">
        <is>
          <t>ThirdPartyMaterial</t>
        </is>
      </c>
      <c r="T1" s="13" t="inlineStr">
        <is>
          <t>ThirdPartyConsent</t>
        </is>
      </c>
      <c r="U1" s="13" t="inlineStr">
        <is>
          <t>ScheduleRef</t>
        </is>
      </c>
      <c r="V1" s="13" t="inlineStr">
        <is>
          <t>ContinuingDuty</t>
        </is>
      </c>
      <c r="W1" s="13" t="inlineStr">
        <is>
          <t>LastReviewDate</t>
        </is>
      </c>
      <c r="X1" s="13" t="inlineStr">
        <is>
          <t>Notes</t>
        </is>
      </c>
      <c r="Y1" s="13" t="inlineStr">
        <is>
          <t>CreatedBy</t>
        </is>
      </c>
      <c r="Z1" s="13" t="inlineStr">
        <is>
          <t>CreatedDate</t>
        </is>
      </c>
    </row>
    <row r="2">
      <c r="A2" s="14">
        <f>IF(B2="","","DISC-"&amp;TEXT(ROW()-1,"0000"))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</row>
    <row r="3">
      <c r="A3" s="14">
        <f>IF(B3="","","DISC-"&amp;TEXT(ROW()-1,"0000"))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</row>
    <row r="4">
      <c r="A4" s="14">
        <f>IF(B4="","","DISC-"&amp;TEXT(ROW()-1,"0000"))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</row>
    <row r="5">
      <c r="A5" s="14">
        <f>IF(B5="","","DISC-"&amp;TEXT(ROW()-1,"0000"))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</row>
    <row r="6">
      <c r="A6" s="14">
        <f>IF(B6="","","DISC-"&amp;TEXT(ROW()-1,"0000"))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</row>
  </sheetData>
  <dataValidations count="8">
    <dataValidation sqref="M2:M1000" showDropDown="0" showInputMessage="0" showErrorMessage="0" allowBlank="1" errorTitle="Invalid Entry" error="Please select from the list." type="list">
      <formula1>=Lookups!$I$2:$I$3</formula1>
    </dataValidation>
    <dataValidation sqref="O2:O1000" showDropDown="0" showInputMessage="0" showErrorMessage="0" allowBlank="1" errorTitle="Invalid Entry" error="Please select from the list." type="list">
      <formula1>=Lookups!$I$2:$I$3</formula1>
    </dataValidation>
    <dataValidation sqref="P2:P1000" showDropDown="0" showInputMessage="0" showErrorMessage="0" allowBlank="1" errorTitle="Invalid Entry" error="Please select from the list." type="list">
      <formula1>=Lookups!$I$2:$I$3</formula1>
    </dataValidation>
    <dataValidation sqref="Q2:Q1000" showDropDown="0" showInputMessage="0" showErrorMessage="0" allowBlank="1" errorTitle="Invalid Entry" error="Please select from the list." type="list">
      <formula1>=Lookups!$I$2:$I$3</formula1>
    </dataValidation>
    <dataValidation sqref="R2:R1000" showDropDown="0" showInputMessage="0" showErrorMessage="0" allowBlank="1" errorTitle="Invalid Entry" error="Please select from the list." type="list">
      <formula1>=Lookups!$I$2:$I$3</formula1>
    </dataValidation>
    <dataValidation sqref="S2:S1000" showDropDown="0" showInputMessage="0" showErrorMessage="0" allowBlank="1" errorTitle="Invalid Entry" error="Please select from the list." type="list">
      <formula1>=Lookups!$I$2:$I$3</formula1>
    </dataValidation>
    <dataValidation sqref="T2:T1000" showDropDown="0" showInputMessage="0" showErrorMessage="0" allowBlank="1" errorTitle="Invalid Entry" error="Please select from the list." type="list">
      <formula1>=Lookups!$I$2:$I$3</formula1>
    </dataValidation>
    <dataValidation sqref="V2:V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3.xml><?xml version="1.0" encoding="utf-8"?>
<worksheet xmlns="http://schemas.openxmlformats.org/spreadsheetml/2006/main">
  <sheetPr>
    <tabColor rgb="001F3864"/>
    <outlinePr summaryBelow="1" summaryRight="1"/>
    <pageSetUpPr/>
  </sheetPr>
  <dimension ref="A1:AB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2" customWidth="1" min="4" max="4"/>
    <col width="16" customWidth="1" min="5" max="5"/>
    <col width="20" customWidth="1" min="6" max="6"/>
    <col width="14" customWidth="1" min="7" max="7"/>
    <col width="30" customWidth="1" min="8" max="8"/>
    <col width="10" customWidth="1" min="9" max="9"/>
    <col width="36" customWidth="1" min="10" max="10"/>
    <col width="36" customWidth="1" min="11" max="11"/>
    <col width="24" customWidth="1" min="12" max="12"/>
    <col width="24" customWidth="1" min="13" max="13"/>
    <col width="36" customWidth="1" min="14" max="14"/>
    <col width="36" customWidth="1" min="15" max="15"/>
    <col width="20" customWidth="1" min="16" max="16"/>
    <col width="14" customWidth="1" min="17" max="17"/>
    <col width="14" customWidth="1" min="18" max="18"/>
    <col width="24" customWidth="1" min="19" max="19"/>
    <col width="12" customWidth="1" min="20" max="20"/>
    <col width="18" customWidth="1" min="21" max="21"/>
    <col width="14" customWidth="1" min="22" max="22"/>
    <col width="18" customWidth="1" min="23" max="23"/>
    <col width="2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13" t="inlineStr">
        <is>
          <t>ConferenceID</t>
        </is>
      </c>
      <c r="B1" s="13" t="inlineStr">
        <is>
          <t>LinkedCaseID</t>
        </is>
      </c>
      <c r="C1" s="13" t="inlineStr">
        <is>
          <t>ConferenceDate</t>
        </is>
      </c>
      <c r="D1" s="13" t="inlineStr">
        <is>
          <t>ConferenceTime</t>
        </is>
      </c>
      <c r="E1" s="13" t="inlineStr">
        <is>
          <t>ConferenceType</t>
        </is>
      </c>
      <c r="F1" s="13" t="inlineStr">
        <is>
          <t>Chairperson</t>
        </is>
      </c>
      <c r="G1" s="13" t="inlineStr">
        <is>
          <t>ChairpersonRank</t>
        </is>
      </c>
      <c r="H1" s="13" t="inlineStr">
        <is>
          <t>Attendees</t>
        </is>
      </c>
      <c r="I1" s="13" t="inlineStr">
        <is>
          <t>AttendeeCount</t>
        </is>
      </c>
      <c r="J1" s="13" t="inlineStr">
        <is>
          <t>CaseSynopsis</t>
        </is>
      </c>
      <c r="K1" s="13" t="inlineStr">
        <is>
          <t>InvestigationProgress</t>
        </is>
      </c>
      <c r="L1" s="13" t="inlineStr">
        <is>
          <t>EvidenceStatusSummary</t>
        </is>
      </c>
      <c r="M1" s="13" t="inlineStr">
        <is>
          <t>ForensicStatusSummary</t>
        </is>
      </c>
      <c r="N1" s="13" t="inlineStr">
        <is>
          <t>KeyIssuesDiscussed</t>
        </is>
      </c>
      <c r="O1" s="13" t="inlineStr">
        <is>
          <t>DirectivesIssued</t>
        </is>
      </c>
      <c r="P1" s="13" t="inlineStr">
        <is>
          <t>DirectiveAssignedTo</t>
        </is>
      </c>
      <c r="Q1" s="13" t="inlineStr">
        <is>
          <t>DirectiveDueDate</t>
        </is>
      </c>
      <c r="R1" s="13" t="inlineStr">
        <is>
          <t>DirectiveStatus</t>
        </is>
      </c>
      <c r="S1" s="13" t="inlineStr">
        <is>
          <t>ResourceApprovals</t>
        </is>
      </c>
      <c r="T1" s="13" t="inlineStr">
        <is>
          <t>EscalationRequired</t>
        </is>
      </c>
      <c r="U1" s="13" t="inlineStr">
        <is>
          <t>EscalatedTo</t>
        </is>
      </c>
      <c r="V1" s="13" t="inlineStr">
        <is>
          <t>NextConferenceDate</t>
        </is>
      </c>
      <c r="W1" s="13" t="inlineStr">
        <is>
          <t>MinutesTakenBy</t>
        </is>
      </c>
      <c r="X1" s="13" t="inlineStr">
        <is>
          <t>Notes</t>
        </is>
      </c>
      <c r="Y1" s="13" t="inlineStr">
        <is>
          <t>CreatedBy</t>
        </is>
      </c>
      <c r="Z1" s="13" t="inlineStr">
        <is>
          <t>CreatedDate</t>
        </is>
      </c>
      <c r="AA1" s="13" t="inlineStr">
        <is>
          <t>LastUpdatedBy</t>
        </is>
      </c>
      <c r="AB1" s="13" t="inlineStr">
        <is>
          <t>LastUpdatedDate</t>
        </is>
      </c>
    </row>
    <row r="2">
      <c r="A2" s="14">
        <f>IF(B2="","","CONF-"&amp;TEXT(ROW()-1,"0000"))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</row>
    <row r="3">
      <c r="A3" s="14">
        <f>IF(B3="","","CONF-"&amp;TEXT(ROW()-1,"0000"))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</row>
    <row r="4">
      <c r="A4" s="14">
        <f>IF(B4="","","CONF-"&amp;TEXT(ROW()-1,"0000"))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</row>
    <row r="5">
      <c r="A5" s="14">
        <f>IF(B5="","","CONF-"&amp;TEXT(ROW()-1,"0000"))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</row>
    <row r="6">
      <c r="A6" s="14">
        <f>IF(B6="","","CONF-"&amp;TEXT(ROW()-1,"0000"))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</row>
  </sheetData>
  <conditionalFormatting sqref="Q2:Q1000">
    <cfRule type="expression" priority="1" dxfId="0">
      <formula>=AND(Q2&lt;&gt;"",Q2&lt;TODAY(),R2&lt;&gt;"Completed")</formula>
    </cfRule>
  </conditionalFormatting>
  <conditionalFormatting sqref="V2:V1000">
    <cfRule type="expression" priority="2" dxfId="1">
      <formula>=AND(V2&lt;&gt;"",V2&lt;TODAY())</formula>
    </cfRule>
  </conditionalFormatting>
  <dataValidations count="1">
    <dataValidation sqref="T2:T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4.xml><?xml version="1.0" encoding="utf-8"?>
<worksheet xmlns="http://schemas.openxmlformats.org/spreadsheetml/2006/main">
  <sheetPr>
    <tabColor rgb="001F3864"/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REGISTRY PORTAL</t>
        </is>
      </c>
    </row>
    <row r="2" ht="24" customHeight="1">
      <c r="A2" s="18" t="inlineStr">
        <is>
          <t>Case Registration, CR Compliance, SOP Adherence &amp; File Management</t>
        </is>
      </c>
    </row>
    <row r="3" ht="18" customHeight="1">
      <c r="A3" s="19" t="inlineStr">
        <is>
          <t>Unit: Registry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Cases Registered</t>
        </is>
      </c>
      <c r="B7" s="22">
        <f>IFERROR(INDEX(tbl_UnitPlans[Target_Monthly],MATCH("Cases Registered",tbl_UnitPlans[KPI_Name],0)),"—")</f>
        <v/>
      </c>
      <c r="C7" s="23">
        <f>IFERROR(INDEX(tbl_UnitPlans[Actual_MTD],MATCH("Cases Registered",tbl_UnitPlans[KPI_Name],0)),"—")</f>
        <v/>
      </c>
      <c r="D7" s="23">
        <f>IFERROR(INDEX(tbl_UnitPlans[Variance_Monthly],MATCH("Cases Registered",tbl_UnitPlans[KPI_Name],0)),"—")</f>
        <v/>
      </c>
      <c r="E7" s="24">
        <f>IFERROR(INDEX(tbl_UnitPlans[Achievement_Pct_Monthly],MATCH("Cases Registered",tbl_UnitPlans[KPI_Name],0)),"—")</f>
        <v/>
      </c>
      <c r="F7" s="23">
        <f>IFERROR(INDEX(tbl_UnitPlans[TrafficLight_Monthly],MATCH("Cases Registered",tbl_UnitPlans[KPI_Name],0)),"—")</f>
        <v/>
      </c>
    </row>
    <row r="8">
      <c r="A8" s="22" t="inlineStr">
        <is>
          <t>CR Compliance Rate</t>
        </is>
      </c>
      <c r="B8" s="22">
        <f>IFERROR(INDEX(tbl_UnitPlans[Target_Monthly],MATCH("CR Compliance Rate",tbl_UnitPlans[KPI_Name],0)),"—")</f>
        <v/>
      </c>
      <c r="C8" s="23">
        <f>IFERROR(INDEX(tbl_UnitPlans[Actual_MTD],MATCH("CR Compliance Rate",tbl_UnitPlans[KPI_Name],0)),"—")</f>
        <v/>
      </c>
      <c r="D8" s="23">
        <f>IFERROR(INDEX(tbl_UnitPlans[Variance_Monthly],MATCH("CR Compliance Rate",tbl_UnitPlans[KPI_Name],0)),"—")</f>
        <v/>
      </c>
      <c r="E8" s="24">
        <f>IFERROR(INDEX(tbl_UnitPlans[Achievement_Pct_Monthly],MATCH("CR Compliance Rate",tbl_UnitPlans[KPI_Name],0)),"—")</f>
        <v/>
      </c>
      <c r="F8" s="23">
        <f>IFERROR(INDEX(tbl_UnitPlans[TrafficLight_Monthly],MATCH("CR Compliance Rate",tbl_UnitPlans[KPI_Name],0)),"—")</f>
        <v/>
      </c>
    </row>
    <row r="9">
      <c r="A9" s="22" t="inlineStr">
        <is>
          <t>Avg Days to First Action</t>
        </is>
      </c>
      <c r="B9" s="22">
        <f>IFERROR(INDEX(tbl_UnitPlans[Target_Monthly],MATCH("Avg Days to First Action",tbl_UnitPlans[KPI_Name],0)),"—")</f>
        <v/>
      </c>
      <c r="C9" s="23">
        <f>IFERROR(INDEX(tbl_UnitPlans[Actual_MTD],MATCH("Avg Days to First Action",tbl_UnitPlans[KPI_Name],0)),"—")</f>
        <v/>
      </c>
      <c r="D9" s="23">
        <f>IFERROR(INDEX(tbl_UnitPlans[Variance_Monthly],MATCH("Avg Days to First Action",tbl_UnitPlans[KPI_Name],0)),"—")</f>
        <v/>
      </c>
      <c r="E9" s="24">
        <f>IFERROR(INDEX(tbl_UnitPlans[Achievement_Pct_Monthly],MATCH("Avg Days to First Action",tbl_UnitPlans[KPI_Name],0)),"—")</f>
        <v/>
      </c>
      <c r="F9" s="23">
        <f>IFERROR(INDEX(tbl_UnitPlans[TrafficLight_Monthly],MATCH("Avg Days to First Action",tbl_UnitPlans[KPI_Name],0)),"—")</f>
        <v/>
      </c>
    </row>
    <row r="11">
      <c r="A11" s="20" t="inlineStr">
        <is>
          <t>QUICK STATISTICS</t>
        </is>
      </c>
    </row>
    <row r="12">
      <c r="A12" s="25" t="inlineStr">
        <is>
          <t>Total Cases</t>
        </is>
      </c>
      <c r="B12" s="25" t="inlineStr">
        <is>
          <t>Open Cases</t>
        </is>
      </c>
      <c r="C12" s="25" t="inlineStr">
        <is>
          <t>Active Cases</t>
        </is>
      </c>
      <c r="D12" s="25" t="inlineStr">
        <is>
          <t>Pending Review</t>
        </is>
      </c>
      <c r="E12" s="25" t="inlineStr">
        <is>
          <t>Closed Cases</t>
        </is>
      </c>
      <c r="F12" s="25" t="inlineStr">
        <is>
          <t>Cold Cases</t>
        </is>
      </c>
      <c r="G12" s="25" t="inlineStr">
        <is>
          <t>Non-Compliant</t>
        </is>
      </c>
      <c r="H12" s="25" t="inlineStr">
        <is>
          <t>Overdue Actions</t>
        </is>
      </c>
    </row>
    <row r="13">
      <c r="A13" s="26">
        <f>COUNTA(tbl_Cases[CaseID])-COUNTBLANK(tbl_Cases[CaseID])</f>
        <v/>
      </c>
      <c r="B13" s="26">
        <f>COUNTIF(tbl_Cases[CaseStatus],"Open")</f>
        <v/>
      </c>
      <c r="C13" s="26">
        <f>COUNTIF(tbl_Cases[CaseStatus],"Active")</f>
        <v/>
      </c>
      <c r="D13" s="26">
        <f>COUNTIF(tbl_Cases[CaseStatus],"Pending Review")</f>
        <v/>
      </c>
      <c r="E13" s="26">
        <f>COUNTIFS(tbl_Cases[CaseStatus],"Closed*")</f>
        <v/>
      </c>
      <c r="F13" s="26">
        <f>COUNTIF(tbl_Cases[CaseStatus],"Cold Case")</f>
        <v/>
      </c>
      <c r="G13" s="26">
        <f>COUNTIF(tbl_Cases[ComplianceFlag],"Non-Compliant")</f>
        <v/>
      </c>
      <c r="H13" s="26">
        <f>COUNTIFS(tbl_Actions[DueDate],"&lt;"&amp;TODAY(),tbl_Actions[CompletedDate],"")</f>
        <v/>
      </c>
    </row>
    <row r="18">
      <c r="A18" s="20" t="inlineStr">
        <is>
          <t>SOP COMPLIANCE METRICS</t>
        </is>
      </c>
    </row>
    <row r="19">
      <c r="A19" s="25" t="inlineStr">
        <is>
          <t>CR1 Compliant %</t>
        </is>
      </c>
      <c r="C19" s="25" t="inlineStr">
        <is>
          <t>CR2 Compliant %</t>
        </is>
      </c>
      <c r="E19" s="25" t="inlineStr">
        <is>
          <t>CR5 Compliant %</t>
        </is>
      </c>
      <c r="G19" s="25" t="inlineStr">
        <is>
          <t>All 3 CRs Compliant</t>
        </is>
      </c>
    </row>
    <row r="20">
      <c r="A20" s="26">
        <f>IFERROR(COUNTIF(tbl_Cases[CR1_Compliant],"Yes")/COUNTA(tbl_Cases[CR1_Compliant]),"—")</f>
        <v/>
      </c>
      <c r="C20" s="26">
        <f>IFERROR(COUNTIF(tbl_Cases[CR2_Compliant],"Yes")/COUNTA(tbl_Cases[CR2_Compliant]),"—")</f>
        <v/>
      </c>
      <c r="E20" s="26">
        <f>IFERROR(COUNTIF(tbl_Cases[CR5_Compliant],"Yes")/COUNTA(tbl_Cases[CR5_Compliant]),"—")</f>
        <v/>
      </c>
      <c r="G20" s="26">
        <f>COUNTIF(tbl_Cases[ComplianceFlag],"Compliant")</f>
        <v/>
      </c>
    </row>
    <row r="22">
      <c r="A22" s="25" t="inlineStr">
        <is>
          <t>Avg Registration SLA (hrs)</t>
        </is>
      </c>
      <c r="C22" s="25" t="inlineStr">
        <is>
          <t>Registration &gt; 24hrs</t>
        </is>
      </c>
      <c r="E22" s="25" t="inlineStr">
        <is>
          <t>Files Complete (&gt;95%)</t>
        </is>
      </c>
      <c r="G22" s="25" t="inlineStr">
        <is>
          <t>Files Incomplete (&lt;50%)</t>
        </is>
      </c>
    </row>
    <row r="23">
      <c r="A23" s="26">
        <f>IFERROR(AVERAGE(tbl_Cases[RegistrationSLA_Hrs]),"—")</f>
        <v/>
      </c>
      <c r="C23" s="26">
        <f>COUNTIFS(tbl_Cases[RegistrationSLA_Hrs],"&gt;"&amp;24)</f>
        <v/>
      </c>
      <c r="E23" s="26">
        <f>COUNTIFS(tbl_Cases[FileCompletenessScore],"&gt;="&amp;0.95)</f>
        <v/>
      </c>
      <c r="G23" s="26">
        <f>COUNTIFS(tbl_Cases[FileCompletenessScore],"&lt;"&amp;0.5)</f>
        <v/>
      </c>
    </row>
    <row r="25">
      <c r="A25" s="20" t="inlineStr">
        <is>
          <t>CASE AGING ANALYSIS</t>
        </is>
      </c>
    </row>
    <row r="26">
      <c r="A26" s="25" t="inlineStr">
        <is>
          <t>0-30 days</t>
        </is>
      </c>
      <c r="C26" s="25" t="inlineStr">
        <is>
          <t>31-60 days</t>
        </is>
      </c>
      <c r="E26" s="25" t="inlineStr">
        <is>
          <t>61-90 days</t>
        </is>
      </c>
      <c r="G26" s="25" t="inlineStr">
        <is>
          <t>91-180 days</t>
        </is>
      </c>
    </row>
    <row r="27">
      <c r="A27" s="26">
        <f>COUNTIF(tbl_Cases[AgingBand],"0-30 days")</f>
        <v/>
      </c>
      <c r="C27" s="26">
        <f>COUNTIF(tbl_Cases[AgingBand],"31-60 days")</f>
        <v/>
      </c>
      <c r="E27" s="26">
        <f>COUNTIF(tbl_Cases[AgingBand],"61-90 days")</f>
        <v/>
      </c>
      <c r="G27" s="26">
        <f>COUNTIF(tbl_Cases[AgingBand],"91-180 days")</f>
        <v/>
      </c>
    </row>
    <row r="29">
      <c r="A29" s="25" t="inlineStr">
        <is>
          <t>180+ days</t>
        </is>
      </c>
      <c r="C29" s="25" t="inlineStr">
        <is>
          <t>Avg Days Open</t>
        </is>
      </c>
      <c r="E29" s="25" t="inlineStr">
        <is>
          <t>Max Days Open</t>
        </is>
      </c>
      <c r="G29" s="25" t="inlineStr">
        <is>
          <t>Cases &gt; 90 days</t>
        </is>
      </c>
    </row>
    <row r="30">
      <c r="A30" s="26">
        <f>COUNTIF(tbl_Cases[AgingBand],"180+ days")</f>
        <v/>
      </c>
      <c r="C30" s="26">
        <f>IFERROR(AVERAGE(tbl_Cases[DaysOpen]),"—")</f>
        <v/>
      </c>
      <c r="E30" s="26">
        <f>IFERROR(MAX(tbl_Cases[DaysOpen]),"—")</f>
        <v/>
      </c>
      <c r="G30" s="26">
        <f>COUNTIFS(tbl_Cases[DaysOpen],"&gt;"&amp;90)</f>
        <v/>
      </c>
    </row>
    <row r="32">
      <c r="A32" s="20" t="inlineStr">
        <is>
          <t>DISPOSAL &amp; ARCHIVE TRACKING</t>
        </is>
      </c>
    </row>
    <row r="33">
      <c r="A33" s="25" t="inlineStr">
        <is>
          <t>Pending Disposal</t>
        </is>
      </c>
      <c r="C33" s="25" t="inlineStr">
        <is>
          <t>Disposal Complete</t>
        </is>
      </c>
      <c r="E33" s="25" t="inlineStr">
        <is>
          <t>Archived</t>
        </is>
      </c>
      <c r="G33" s="25" t="inlineStr">
        <is>
          <t>Awaiting Archive</t>
        </is>
      </c>
    </row>
    <row r="34">
      <c r="A34" s="26">
        <f>COUNTIFS(tbl_Cases[CaseStatus],"Closed*",tbl_Cases[DisposalType],"")</f>
        <v/>
      </c>
      <c r="C34" s="26">
        <f>COUNTIFS(tbl_Cases[DisposalType],"&lt;&gt;")</f>
        <v/>
      </c>
      <c r="E34" s="26">
        <f>COUNTIFS(tbl_Cases[ArchiveRef],"&lt;&gt;")</f>
        <v/>
      </c>
      <c r="G34" s="26">
        <f>COUNTIFS(tbl_Cases[DisposalType],"&lt;&gt;",tbl_Cases[ArchiveRef],"")</f>
        <v/>
      </c>
    </row>
    <row r="36">
      <c r="A36" s="65" t="inlineStr">
        <is>
          <t>DATA ENTRY: 'tbl_Cases' for registration | 'tbl_Actions' for action items | 'tbl_Reviews' for supervisory reviews | 'tbl_CaseFileChecklist' for file compliance | 'tbl_CaseAssignments' for handovers | 'tbl_Statements' for statement register | 'tbl_Disclosure' for prosecution disclosure</t>
        </is>
      </c>
    </row>
    <row r="37"/>
  </sheetData>
  <mergeCells count="9">
    <mergeCell ref="A18:H18"/>
    <mergeCell ref="A1:H1"/>
    <mergeCell ref="A3:H3"/>
    <mergeCell ref="A25:H25"/>
    <mergeCell ref="A2:H2"/>
    <mergeCell ref="A36:H37"/>
    <mergeCell ref="A11:H11"/>
    <mergeCell ref="A5:H5"/>
    <mergeCell ref="A32:H32"/>
  </mergeCells>
  <conditionalFormatting sqref="F7:F10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tabColor rgb="001F3864"/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INVESTIGATIONS PORTAL</t>
        </is>
      </c>
    </row>
    <row r="2" ht="24" customHeight="1">
      <c r="A2" s="18" t="inlineStr">
        <is>
          <t>Case Investigation, Witness Management, Evidence Tracking, Court Readiness &amp; SOP Compliance</t>
        </is>
      </c>
    </row>
    <row r="3" ht="18" customHeight="1">
      <c r="A3" s="19" t="inlineStr">
        <is>
          <t>Unit: Investigations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Active Cases</t>
        </is>
      </c>
      <c r="B7" s="22">
        <f>IFERROR(INDEX(tbl_UnitPlans[Target_Monthly],MATCH("Active Cases",tbl_UnitPlans[KPI_Name],0)),"—")</f>
        <v/>
      </c>
      <c r="C7" s="23">
        <f>IFERROR(INDEX(tbl_UnitPlans[Actual_MTD],MATCH("Active Cases",tbl_UnitPlans[KPI_Name],0)),"—")</f>
        <v/>
      </c>
      <c r="D7" s="23">
        <f>IFERROR(INDEX(tbl_UnitPlans[Variance_Monthly],MATCH("Active Cases",tbl_UnitPlans[KPI_Name],0)),"—")</f>
        <v/>
      </c>
      <c r="E7" s="24">
        <f>IFERROR(INDEX(tbl_UnitPlans[Achievement_Pct_Monthly],MATCH("Active Cases",tbl_UnitPlans[KPI_Name],0)),"—")</f>
        <v/>
      </c>
      <c r="F7" s="23">
        <f>IFERROR(INDEX(tbl_UnitPlans[TrafficLight_Monthly],MATCH("Active Cases",tbl_UnitPlans[KPI_Name],0)),"—")</f>
        <v/>
      </c>
    </row>
    <row r="8">
      <c r="A8" s="22" t="inlineStr">
        <is>
          <t>Cases Closed</t>
        </is>
      </c>
      <c r="B8" s="22">
        <f>IFERROR(INDEX(tbl_UnitPlans[Target_Monthly],MATCH("Cases Closed",tbl_UnitPlans[KPI_Name],0)),"—")</f>
        <v/>
      </c>
      <c r="C8" s="23">
        <f>IFERROR(INDEX(tbl_UnitPlans[Actual_MTD],MATCH("Cases Closed",tbl_UnitPlans[KPI_Name],0)),"—")</f>
        <v/>
      </c>
      <c r="D8" s="23">
        <f>IFERROR(INDEX(tbl_UnitPlans[Variance_Monthly],MATCH("Cases Closed",tbl_UnitPlans[KPI_Name],0)),"—")</f>
        <v/>
      </c>
      <c r="E8" s="24">
        <f>IFERROR(INDEX(tbl_UnitPlans[Achievement_Pct_Monthly],MATCH("Cases Closed",tbl_UnitPlans[KPI_Name],0)),"—")</f>
        <v/>
      </c>
      <c r="F8" s="23">
        <f>IFERROR(INDEX(tbl_UnitPlans[TrafficLight_Monthly],MATCH("Cases Closed",tbl_UnitPlans[KPI_Name],0)),"—")</f>
        <v/>
      </c>
    </row>
    <row r="9">
      <c r="A9" s="22" t="inlineStr">
        <is>
          <t>Case Clearance Rate</t>
        </is>
      </c>
      <c r="B9" s="22">
        <f>IFERROR(INDEX(tbl_UnitPlans[Target_Monthly],MATCH("Case Clearance Rate",tbl_UnitPlans[KPI_Name],0)),"—")</f>
        <v/>
      </c>
      <c r="C9" s="23">
        <f>IFERROR(INDEX(tbl_UnitPlans[Actual_MTD],MATCH("Case Clearance Rate",tbl_UnitPlans[KPI_Name],0)),"—")</f>
        <v/>
      </c>
      <c r="D9" s="23">
        <f>IFERROR(INDEX(tbl_UnitPlans[Variance_Monthly],MATCH("Case Clearance Rate",tbl_UnitPlans[KPI_Name],0)),"—")</f>
        <v/>
      </c>
      <c r="E9" s="24">
        <f>IFERROR(INDEX(tbl_UnitPlans[Achievement_Pct_Monthly],MATCH("Case Clearance Rate",tbl_UnitPlans[KPI_Name],0)),"—")</f>
        <v/>
      </c>
      <c r="F9" s="23">
        <f>IFERROR(INDEX(tbl_UnitPlans[TrafficLight_Monthly],MATCH("Case Clearance Rate",tbl_UnitPlans[KPI_Name],0)),"—")</f>
        <v/>
      </c>
    </row>
    <row r="10">
      <c r="A10" s="22" t="inlineStr">
        <is>
          <t>Supervisory Reviews Done</t>
        </is>
      </c>
      <c r="B10" s="22">
        <f>IFERROR(INDEX(tbl_UnitPlans[Target_Monthly],MATCH("Supervisory Reviews Done",tbl_UnitPlans[KPI_Name],0)),"—")</f>
        <v/>
      </c>
      <c r="C10" s="23">
        <f>IFERROR(INDEX(tbl_UnitPlans[Actual_MTD],MATCH("Supervisory Reviews Done",tbl_UnitPlans[KPI_Name],0)),"—")</f>
        <v/>
      </c>
      <c r="D10" s="23">
        <f>IFERROR(INDEX(tbl_UnitPlans[Variance_Monthly],MATCH("Supervisory Reviews Done",tbl_UnitPlans[KPI_Name],0)),"—")</f>
        <v/>
      </c>
      <c r="E10" s="24">
        <f>IFERROR(INDEX(tbl_UnitPlans[Achievement_Pct_Monthly],MATCH("Supervisory Reviews Done",tbl_UnitPlans[KPI_Name],0)),"—")</f>
        <v/>
      </c>
      <c r="F10" s="23">
        <f>IFERROR(INDEX(tbl_UnitPlans[TrafficLight_Monthly],MATCH("Supervisory Reviews Done",tbl_UnitPlans[KPI_Name],0)),"—")</f>
        <v/>
      </c>
    </row>
    <row r="12">
      <c r="A12" s="20" t="inlineStr">
        <is>
          <t>QUICK STATISTICS</t>
        </is>
      </c>
    </row>
    <row r="13">
      <c r="A13" s="25" t="inlineStr">
        <is>
          <t>Under Investigation</t>
        </is>
      </c>
      <c r="B13" s="25" t="inlineStr">
        <is>
          <t>Pending Court</t>
        </is>
      </c>
      <c r="C13" s="25" t="inlineStr">
        <is>
          <t>Cold Cases</t>
        </is>
      </c>
      <c r="D13" s="25" t="inlineStr">
        <is>
          <t>Linked Leads</t>
        </is>
      </c>
      <c r="E13" s="25" t="inlineStr">
        <is>
          <t>Persons of Interest</t>
        </is>
      </c>
      <c r="F13" s="25" t="inlineStr">
        <is>
          <t>Diary Entries</t>
        </is>
      </c>
      <c r="G13" s="25" t="inlineStr">
        <is>
          <t>Total Arrests</t>
        </is>
      </c>
      <c r="H13" s="25" t="inlineStr">
        <is>
          <t>Scenes Processed</t>
        </is>
      </c>
    </row>
    <row r="14">
      <c r="A14" s="26">
        <f>COUNTIF(tbl_Cases[CaseStatus],"Under Investigation")</f>
        <v/>
      </c>
      <c r="B14" s="26">
        <f>COUNTIF(tbl_Cases[CaseStatus],"Pending Court")</f>
        <v/>
      </c>
      <c r="C14" s="26">
        <f>COUNTIF(tbl_Cases[CaseStatus],"Cold Case")</f>
        <v/>
      </c>
      <c r="D14" s="26">
        <f>COUNTIFS(tbl_Cases[LinkedLeadID],"&lt;&gt;")</f>
        <v/>
      </c>
      <c r="E14" s="26">
        <f>COUNTA(tbl_Persons[PersonID])-COUNTBLANK(tbl_Persons[PersonID])</f>
        <v/>
      </c>
      <c r="F14" s="26">
        <f>COUNTA(tbl_DiaryEntries[DiaryID])-COUNTBLANK(tbl_DiaryEntries[DiaryID])</f>
        <v/>
      </c>
      <c r="G14" s="26">
        <f>COUNTA(tbl_Arrests[ArrestID])-COUNTBLANK(tbl_Arrests[ArrestID])</f>
        <v/>
      </c>
      <c r="H14" s="26">
        <f>COUNTA(tbl_SceneLog[SceneID])-COUNTBLANK(tbl_SceneLog[SceneID])</f>
        <v/>
      </c>
    </row>
    <row r="19">
      <c r="A19" s="20" t="inlineStr">
        <is>
          <t>WITNESS &amp; STATEMENT MANAGEMENT</t>
        </is>
      </c>
    </row>
    <row r="20">
      <c r="A20" s="25" t="inlineStr">
        <is>
          <t>Total Witnesses</t>
        </is>
      </c>
      <c r="C20" s="25" t="inlineStr">
        <is>
          <t>Statements Taken</t>
        </is>
      </c>
      <c r="E20" s="25" t="inlineStr">
        <is>
          <t>Cautioned Statements</t>
        </is>
      </c>
      <c r="G20" s="25" t="inlineStr">
        <is>
          <t>Willing to Testify</t>
        </is>
      </c>
    </row>
    <row r="21">
      <c r="A21" s="26">
        <f>COUNTA(tbl_Witnesses[WitnessID])-COUNTBLANK(tbl_Witnesses[WitnessID])</f>
        <v/>
      </c>
      <c r="C21" s="26">
        <f>COUNTA(tbl_Statements[StatementID])-COUNTBLANK(tbl_Statements[StatementID])</f>
        <v/>
      </c>
      <c r="E21" s="26">
        <f>COUNTIF(tbl_Statements[CautionGiven],"Yes")</f>
        <v/>
      </c>
      <c r="G21" s="26">
        <f>COUNTIF(tbl_Witnesses[WillingToTestify],"Yes")</f>
        <v/>
      </c>
    </row>
    <row r="23">
      <c r="A23" s="25" t="inlineStr">
        <is>
          <t>Summons Issued</t>
        </is>
      </c>
      <c r="C23" s="25" t="inlineStr">
        <is>
          <t>Summons Not Served</t>
        </is>
      </c>
      <c r="E23" s="25" t="inlineStr">
        <is>
          <t>Protection Required</t>
        </is>
      </c>
      <c r="G23" s="25" t="inlineStr">
        <is>
          <t>Vulnerable Witnesses</t>
        </is>
      </c>
    </row>
    <row r="24">
      <c r="A24" s="26">
        <f>COUNTIF(tbl_Witnesses[SummonsIssued],"Yes")</f>
        <v/>
      </c>
      <c r="C24" s="26">
        <f>COUNTIFS(tbl_Witnesses[SummonsIssued],"Yes",tbl_Witnesses[SummonsServed],"No")</f>
        <v/>
      </c>
      <c r="E24" s="26">
        <f>COUNTIF(tbl_Witnesses[ProtectionRequired],"Yes")</f>
        <v/>
      </c>
      <c r="G24" s="26">
        <f>COUNTIF(tbl_Witnesses[VulnerableWitness],"Yes")</f>
        <v/>
      </c>
    </row>
    <row r="26">
      <c r="A26" s="20" t="inlineStr">
        <is>
          <t>SUPERVISORY REVIEWS &amp; DIRECTIVES</t>
        </is>
      </c>
    </row>
    <row r="27">
      <c r="A27" s="25" t="inlineStr">
        <is>
          <t>Reviews Completed</t>
        </is>
      </c>
      <c r="C27" s="25" t="inlineStr">
        <is>
          <t>Overdue Reviews</t>
        </is>
      </c>
      <c r="E27" s="25" t="inlineStr">
        <is>
          <t>Directives Issued</t>
        </is>
      </c>
      <c r="G27" s="25" t="inlineStr">
        <is>
          <t>Directives Overdue</t>
        </is>
      </c>
    </row>
    <row r="28">
      <c r="A28" s="26">
        <f>COUNTA(tbl_Reviews[ReviewID])-COUNTBLANK(tbl_Reviews[ReviewID])</f>
        <v/>
      </c>
      <c r="C28" s="26">
        <f>COUNTIFS(tbl_Reviews[NextReviewDue],"&lt;"&amp;TODAY())</f>
        <v/>
      </c>
      <c r="E28" s="26">
        <f>COUNTIFS(tbl_Reviews[DirectivesIssued],"&lt;&gt;")</f>
        <v/>
      </c>
      <c r="G28" s="26">
        <f>COUNTIFS(tbl_Reviews[DirectiveDueDate],"&lt;"&amp;TODAY(),tbl_Reviews[DirectiveStatus],"&lt;&gt;Completed")</f>
        <v/>
      </c>
    </row>
    <row r="30">
      <c r="A30" s="25" t="inlineStr">
        <is>
          <t>Escalations</t>
        </is>
      </c>
      <c r="C30" s="25" t="inlineStr">
        <is>
          <t>Conferences Held</t>
        </is>
      </c>
      <c r="E30" s="25" t="inlineStr">
        <is>
          <t>Conf Directives Overdue</t>
        </is>
      </c>
      <c r="G30" s="25" t="inlineStr">
        <is>
          <t>Next Conference Due</t>
        </is>
      </c>
    </row>
    <row r="31">
      <c r="A31" s="26">
        <f>COUNTIF(tbl_Reviews[EscalationRequired],"Yes")</f>
        <v/>
      </c>
      <c r="C31" s="26">
        <f>COUNTA(tbl_CommandConference[ConferenceID])-COUNTBLANK(tbl_CommandConference[ConferenceID])</f>
        <v/>
      </c>
      <c r="E31" s="26">
        <f>COUNTIFS(tbl_CommandConference[DirectiveDueDate],"&lt;"&amp;TODAY(),tbl_CommandConference[DirectiveStatus],"&lt;&gt;Completed")</f>
        <v/>
      </c>
      <c r="G31" s="26">
        <f>IFERROR(MIN(IF(tbl_CommandConference[NextConferenceDate]&gt;=TODAY(),tbl_CommandConference[NextConferenceDate])),"—")</f>
        <v/>
      </c>
    </row>
    <row r="33">
      <c r="A33" s="20" t="inlineStr">
        <is>
          <t>INVESTIGATION PLANS &amp; CASE ASSIGNMENTS</t>
        </is>
      </c>
    </row>
    <row r="34">
      <c r="A34" s="25" t="inlineStr">
        <is>
          <t>Investigation Plans</t>
        </is>
      </c>
      <c r="C34" s="25" t="inlineStr">
        <is>
          <t>Active Plans</t>
        </is>
      </c>
      <c r="E34" s="25" t="inlineStr">
        <is>
          <t>Plans Under Review</t>
        </is>
      </c>
      <c r="G34" s="25" t="inlineStr">
        <is>
          <t>Plan Reviews Overdue</t>
        </is>
      </c>
    </row>
    <row r="35">
      <c r="A35" s="26">
        <f>COUNTA(tbl_InvestigationPlans[PlanID])-COUNTBLANK(tbl_InvestigationPlans[PlanID])</f>
        <v/>
      </c>
      <c r="C35" s="26">
        <f>COUNTIF(tbl_InvestigationPlans[PlanStatus],"Active")</f>
        <v/>
      </c>
      <c r="E35" s="26">
        <f>COUNTIF(tbl_InvestigationPlans[PlanStatus],"Under Review")</f>
        <v/>
      </c>
      <c r="G35" s="26">
        <f>COUNTIFS(tbl_InvestigationPlans[NextReviewDate],"&lt;"&amp;TODAY())</f>
        <v/>
      </c>
    </row>
    <row r="37">
      <c r="A37" s="25" t="inlineStr">
        <is>
          <t>Case Assignments</t>
        </is>
      </c>
      <c r="C37" s="25" t="inlineStr">
        <is>
          <t>Reassignments</t>
        </is>
      </c>
      <c r="E37" s="25" t="inlineStr">
        <is>
          <t>Handover Briefings Done</t>
        </is>
      </c>
      <c r="G37" s="25" t="inlineStr">
        <is>
          <t>Pending Acknowledgement</t>
        </is>
      </c>
    </row>
    <row r="38">
      <c r="A38" s="26">
        <f>COUNTA(tbl_CaseAssignments[AssignmentID])-COUNTBLANK(tbl_CaseAssignments[AssignmentID])</f>
        <v/>
      </c>
      <c r="C38" s="26">
        <f>COUNTIF(tbl_CaseAssignments[AssignmentType],"Reassignment")</f>
        <v/>
      </c>
      <c r="E38" s="26">
        <f>COUNTIF(tbl_CaseAssignments[HandoverBriefingDone],"Yes")</f>
        <v/>
      </c>
      <c r="G38" s="26">
        <f>COUNTIFS(tbl_CaseAssignments[AcknowledgedByReceiver],"No")</f>
        <v/>
      </c>
    </row>
    <row r="40">
      <c r="A40" s="20" t="inlineStr">
        <is>
          <t>VICTIM / COMPLAINANT MANAGEMENT</t>
        </is>
      </c>
    </row>
    <row r="41">
      <c r="A41" s="25" t="inlineStr">
        <is>
          <t>Victim Contacts Made</t>
        </is>
      </c>
      <c r="C41" s="25" t="inlineStr">
        <is>
          <t>Victim Satisfied</t>
        </is>
      </c>
      <c r="E41" s="25" t="inlineStr">
        <is>
          <t>Concerns Raised</t>
        </is>
      </c>
    </row>
    <row r="42">
      <c r="A42" s="26">
        <f>COUNTA(tbl_VictimContact[ContactID])-COUNTBLANK(tbl_VictimContact[ContactID])</f>
        <v/>
      </c>
      <c r="C42" s="26">
        <f>COUNTIF(tbl_VictimContact[VictimSatisfied],"Yes")</f>
        <v/>
      </c>
      <c r="E42" s="26">
        <f>COUNTIFS(tbl_VictimContact[ConcernsRaised],"&lt;&gt;")</f>
        <v/>
      </c>
    </row>
    <row r="44">
      <c r="A44" s="25" t="inlineStr">
        <is>
          <t>Referrals Made</t>
        </is>
      </c>
      <c r="C44" s="25" t="inlineStr">
        <is>
          <t>Safety Plans in Place</t>
        </is>
      </c>
      <c r="E44" s="25" t="inlineStr">
        <is>
          <t>Contact Overdue</t>
        </is>
      </c>
    </row>
    <row r="45">
      <c r="A45" s="26">
        <f>COUNTIF(tbl_VictimContact[ReferralMade],"Yes")</f>
        <v/>
      </c>
      <c r="C45" s="26">
        <f>COUNTIF(tbl_VictimContact[SafetyPlanInPlace],"Yes")</f>
        <v/>
      </c>
      <c r="E45" s="26">
        <f>COUNTIFS(tbl_VictimContact[NextScheduledContact],"&lt;"&amp;TODAY())</f>
        <v/>
      </c>
    </row>
    <row r="47">
      <c r="A47" s="20" t="inlineStr">
        <is>
          <t>COURT READINESS &amp; DISCLOSURE</t>
        </is>
      </c>
    </row>
    <row r="48">
      <c r="A48" s="25" t="inlineStr">
        <is>
          <t>Upcoming Court (7d)</t>
        </is>
      </c>
      <c r="C48" s="25" t="inlineStr">
        <is>
          <t>Total Hearings</t>
        </is>
      </c>
      <c r="E48" s="25" t="inlineStr">
        <is>
          <t>Disclosures Made</t>
        </is>
      </c>
    </row>
    <row r="49">
      <c r="A49" s="26">
        <f>COUNTIFS(tbl_CourtDates[HearingDate],"&gt;="&amp;TODAY(),tbl_CourtDates[HearingDate],"&lt;="&amp;TODAY()+7)</f>
        <v/>
      </c>
      <c r="C49" s="26">
        <f>COUNTA(tbl_CourtDates[CourtID])-COUNTBLANK(tbl_CourtDates[CourtID])</f>
        <v/>
      </c>
      <c r="E49" s="26">
        <f>COUNTA(tbl_Disclosure[DisclosureID])-COUNTBLANK(tbl_Disclosure[DisclosureID])</f>
        <v/>
      </c>
    </row>
    <row r="51">
      <c r="A51" s="25" t="inlineStr">
        <is>
          <t>Redactions Required</t>
        </is>
      </c>
      <c r="C51" s="25" t="inlineStr">
        <is>
          <t>48hr Charge Met</t>
        </is>
      </c>
      <c r="E51" s="25" t="inlineStr">
        <is>
          <t>48hr Charge Missed</t>
        </is>
      </c>
    </row>
    <row r="52">
      <c r="A52" s="26">
        <f>COUNTIF(tbl_Disclosure[RedactionRequired],"Yes")</f>
        <v/>
      </c>
      <c r="C52" s="26">
        <f>COUNTIF(tbl_Cases[ChargeDeadlineMet],"Yes")</f>
        <v/>
      </c>
      <c r="E52" s="26">
        <f>COUNTIF(tbl_Cases[ChargeDeadlineMet],"No")</f>
        <v/>
      </c>
    </row>
    <row r="54">
      <c r="A54" s="66" t="inlineStr">
        <is>
          <t>DATA ENTRY TABLES:
'tbl_Cases' — Case updates | 'tbl_DiaryEntries' — Investigation diary | 'tbl_Reviews' — Supervisory reviews
'tbl_Witnesses' — Witness management | 'tbl_Statements' — Statement register | 'tbl_VictimContact' — Victim updates
'tbl_InvestigationPlans' — Investigation plans | 'tbl_CaseAssignments' — Case handovers
'tbl_CommandConference' — Case conferences | 'tbl_Disclosure' — Prosecution disclosure
'tbl_CaseFileChecklist' — File completeness | 'tbl_Persons' — Persons of interest
'tbl_CourtDates' — Court tracking | 'tbl_SceneLog' — Scene processing | 'tbl_Arrests' — Arrest register</t>
        </is>
      </c>
    </row>
    <row r="55"/>
    <row r="56"/>
  </sheetData>
  <mergeCells count="11">
    <mergeCell ref="A12:H12"/>
    <mergeCell ref="A1:H1"/>
    <mergeCell ref="A3:H3"/>
    <mergeCell ref="A26:H26"/>
    <mergeCell ref="A2:H2"/>
    <mergeCell ref="A54:H56"/>
    <mergeCell ref="A19:H19"/>
    <mergeCell ref="A33:H33"/>
    <mergeCell ref="A47:H47"/>
    <mergeCell ref="A5:H5"/>
    <mergeCell ref="A40:H40"/>
  </mergeCells>
  <conditionalFormatting sqref="F7:F11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tabColor rgb="001F3864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1" t="inlineStr">
        <is>
          <t>FNID AREA 3 — INVESTIGATION PLAN</t>
        </is>
      </c>
    </row>
    <row r="2">
      <c r="A2" s="67" t="inlineStr">
        <is>
          <t>(Confidential — For Official Use Only)</t>
        </is>
      </c>
    </row>
    <row r="4">
      <c r="A4" s="53" t="inlineStr">
        <is>
          <t>Case ID:</t>
        </is>
      </c>
      <c r="B4" s="64" t="inlineStr"/>
      <c r="C4" s="61" t="n"/>
      <c r="D4" s="61" t="n"/>
      <c r="E4" s="61" t="n"/>
      <c r="F4" s="61" t="n"/>
    </row>
    <row r="5">
      <c r="A5" s="53" t="inlineStr">
        <is>
          <t>CR1 Number:</t>
        </is>
      </c>
      <c r="B5" s="64" t="inlineStr"/>
      <c r="C5" s="61" t="n"/>
      <c r="D5" s="61" t="n"/>
      <c r="E5" s="61" t="n"/>
      <c r="F5" s="61" t="n"/>
    </row>
    <row r="6">
      <c r="A6" s="53" t="inlineStr">
        <is>
          <t>Offence:</t>
        </is>
      </c>
      <c r="B6" s="64" t="inlineStr"/>
      <c r="C6" s="61" t="n"/>
      <c r="D6" s="61" t="n"/>
      <c r="E6" s="61" t="n"/>
      <c r="F6" s="61" t="n"/>
    </row>
    <row r="7">
      <c r="A7" s="53" t="inlineStr">
        <is>
          <t>Date of Incident:</t>
        </is>
      </c>
      <c r="B7" s="64" t="inlineStr"/>
      <c r="C7" s="61" t="n"/>
      <c r="D7" s="61" t="n"/>
      <c r="E7" s="61" t="n"/>
      <c r="F7" s="61" t="n"/>
    </row>
    <row r="8">
      <c r="A8" s="53" t="inlineStr">
        <is>
          <t>Parish/Station:</t>
        </is>
      </c>
      <c r="B8" s="64" t="inlineStr"/>
      <c r="C8" s="61" t="n"/>
      <c r="D8" s="61" t="n"/>
      <c r="E8" s="61" t="n"/>
      <c r="F8" s="61" t="n"/>
    </row>
    <row r="9">
      <c r="A9" s="53" t="inlineStr">
        <is>
          <t>Investigator:</t>
        </is>
      </c>
      <c r="B9" s="64" t="inlineStr"/>
      <c r="C9" s="61" t="n"/>
      <c r="D9" s="61" t="n"/>
      <c r="E9" s="61" t="n"/>
      <c r="F9" s="61" t="n"/>
    </row>
    <row r="10">
      <c r="A10" s="53" t="inlineStr">
        <is>
          <t>Rank/Badge:</t>
        </is>
      </c>
      <c r="B10" s="64" t="inlineStr"/>
      <c r="C10" s="61" t="n"/>
      <c r="D10" s="61" t="n"/>
      <c r="E10" s="61" t="n"/>
      <c r="F10" s="61" t="n"/>
    </row>
    <row r="11">
      <c r="A11" s="53" t="inlineStr">
        <is>
          <t>Supervisor:</t>
        </is>
      </c>
      <c r="B11" s="64" t="inlineStr"/>
      <c r="C11" s="61" t="n"/>
      <c r="D11" s="61" t="n"/>
      <c r="E11" s="61" t="n"/>
      <c r="F11" s="61" t="n"/>
    </row>
    <row r="12">
      <c r="A12" s="53" t="inlineStr">
        <is>
          <t>Plan Version:</t>
        </is>
      </c>
      <c r="B12" s="64" t="inlineStr"/>
      <c r="C12" s="61" t="n"/>
      <c r="D12" s="61" t="n"/>
      <c r="E12" s="61" t="n"/>
      <c r="F12" s="61" t="n"/>
    </row>
    <row r="13">
      <c r="A13" s="53" t="inlineStr">
        <is>
          <t>Plan Date:</t>
        </is>
      </c>
      <c r="B13" s="64" t="inlineStr"/>
      <c r="C13" s="61" t="n"/>
      <c r="D13" s="61" t="n"/>
      <c r="E13" s="61" t="n"/>
      <c r="F13" s="61" t="n"/>
    </row>
    <row r="15">
      <c r="A15" s="55" t="inlineStr">
        <is>
          <t>HYPOTHESIS / THEORY OF THE CASE</t>
        </is>
      </c>
    </row>
    <row r="18">
      <c r="A18" s="55" t="inlineStr">
        <is>
          <t>OBJECTIVES OF INVESTIGATION</t>
        </is>
      </c>
    </row>
    <row r="21">
      <c r="A21" s="55" t="inlineStr">
        <is>
          <t>LINES OF ENQUIRY</t>
        </is>
      </c>
    </row>
    <row r="22">
      <c r="A22" s="55" t="inlineStr">
        <is>
          <t>1.</t>
        </is>
      </c>
    </row>
    <row r="23">
      <c r="A23" s="55" t="inlineStr">
        <is>
          <t>2.</t>
        </is>
      </c>
    </row>
    <row r="24">
      <c r="A24" s="55" t="inlineStr">
        <is>
          <t>3.</t>
        </is>
      </c>
    </row>
    <row r="25">
      <c r="A25" s="55" t="inlineStr">
        <is>
          <t>4.</t>
        </is>
      </c>
    </row>
    <row r="26">
      <c r="A26" s="55" t="inlineStr">
        <is>
          <t>5.</t>
        </is>
      </c>
    </row>
    <row r="27">
      <c r="A27" s="55" t="inlineStr">
        <is>
          <t>KEY EVIDENCE REQUIRED</t>
        </is>
      </c>
    </row>
    <row r="30">
      <c r="A30" s="55" t="inlineStr">
        <is>
          <t>WITNESSES TO INTERVIEW</t>
        </is>
      </c>
    </row>
    <row r="31">
      <c r="A31" s="53" t="inlineStr">
        <is>
          <t>Name:</t>
        </is>
      </c>
      <c r="B31" s="64" t="inlineStr"/>
      <c r="C31" s="61" t="n"/>
      <c r="D31" s="61" t="n"/>
      <c r="E31" s="61" t="n"/>
      <c r="F31" s="61" t="n"/>
    </row>
    <row r="32">
      <c r="A32" s="53" t="inlineStr">
        <is>
          <t>Name:</t>
        </is>
      </c>
      <c r="B32" s="64" t="inlineStr"/>
      <c r="C32" s="61" t="n"/>
      <c r="D32" s="61" t="n"/>
      <c r="E32" s="61" t="n"/>
      <c r="F32" s="61" t="n"/>
    </row>
    <row r="33">
      <c r="A33" s="53" t="inlineStr">
        <is>
          <t>Name:</t>
        </is>
      </c>
      <c r="B33" s="64" t="inlineStr"/>
      <c r="C33" s="61" t="n"/>
      <c r="D33" s="61" t="n"/>
      <c r="E33" s="61" t="n"/>
      <c r="F33" s="61" t="n"/>
    </row>
    <row r="34">
      <c r="A34" s="53" t="inlineStr">
        <is>
          <t>Name:</t>
        </is>
      </c>
      <c r="B34" s="64" t="inlineStr"/>
      <c r="C34" s="61" t="n"/>
      <c r="D34" s="61" t="n"/>
      <c r="E34" s="61" t="n"/>
      <c r="F34" s="61" t="n"/>
    </row>
    <row r="35">
      <c r="A35" s="55" t="inlineStr">
        <is>
          <t>SUSPECTS / PERSONS OF INTEREST</t>
        </is>
      </c>
    </row>
    <row r="36">
      <c r="A36" s="53" t="inlineStr">
        <is>
          <t>Name:</t>
        </is>
      </c>
      <c r="B36" s="64" t="inlineStr"/>
      <c r="C36" s="61" t="n"/>
      <c r="D36" s="61" t="n"/>
      <c r="E36" s="61" t="n"/>
      <c r="F36" s="61" t="n"/>
    </row>
    <row r="37">
      <c r="A37" s="53" t="inlineStr">
        <is>
          <t>Name:</t>
        </is>
      </c>
      <c r="B37" s="64" t="inlineStr"/>
      <c r="C37" s="61" t="n"/>
      <c r="D37" s="61" t="n"/>
      <c r="E37" s="61" t="n"/>
      <c r="F37" s="61" t="n"/>
    </row>
    <row r="38">
      <c r="A38" s="55" t="inlineStr">
        <is>
          <t>FORENSIC REQUIREMENTS</t>
        </is>
      </c>
    </row>
    <row r="40">
      <c r="A40" s="55" t="inlineStr">
        <is>
          <t>SURVEILLANCE REQUIRED</t>
        </is>
      </c>
    </row>
    <row r="42">
      <c r="A42" s="55" t="inlineStr">
        <is>
          <t>SEARCHES / WARRANTS PLANNED</t>
        </is>
      </c>
    </row>
    <row r="44">
      <c r="A44" s="55" t="inlineStr">
        <is>
          <t>INTER-AGENCY SUPPORT REQUIRED</t>
        </is>
      </c>
    </row>
    <row r="46">
      <c r="A46" s="55" t="inlineStr">
        <is>
          <t>RESOURCES REQUIRED</t>
        </is>
      </c>
    </row>
    <row r="48">
      <c r="A48" s="55" t="inlineStr">
        <is>
          <t>TIMELINE / KEY MILESTONES</t>
        </is>
      </c>
    </row>
    <row r="49">
      <c r="A49" s="53" t="inlineStr">
        <is>
          <t>Milestone:</t>
        </is>
      </c>
      <c r="B49" s="64" t="inlineStr">
        <is>
          <t>Due Date:</t>
        </is>
      </c>
      <c r="C49" s="61" t="n"/>
      <c r="D49" s="61" t="n"/>
      <c r="E49" s="61" t="n"/>
      <c r="F49" s="61" t="n"/>
    </row>
    <row r="50">
      <c r="A50" s="53" t="inlineStr">
        <is>
          <t>Milestone:</t>
        </is>
      </c>
      <c r="B50" s="64" t="inlineStr">
        <is>
          <t>Due Date:</t>
        </is>
      </c>
      <c r="C50" s="61" t="n"/>
      <c r="D50" s="61" t="n"/>
      <c r="E50" s="61" t="n"/>
      <c r="F50" s="61" t="n"/>
    </row>
    <row r="51">
      <c r="A51" s="53" t="inlineStr">
        <is>
          <t>Milestone:</t>
        </is>
      </c>
      <c r="B51" s="64" t="inlineStr">
        <is>
          <t>Due Date:</t>
        </is>
      </c>
      <c r="C51" s="61" t="n"/>
      <c r="D51" s="61" t="n"/>
      <c r="E51" s="61" t="n"/>
      <c r="F51" s="61" t="n"/>
    </row>
    <row r="52">
      <c r="A52" s="53" t="inlineStr">
        <is>
          <t>Milestone:</t>
        </is>
      </c>
      <c r="B52" s="64" t="inlineStr">
        <is>
          <t>Due Date:</t>
        </is>
      </c>
      <c r="C52" s="61" t="n"/>
      <c r="D52" s="61" t="n"/>
      <c r="E52" s="61" t="n"/>
      <c r="F52" s="61" t="n"/>
    </row>
    <row r="53">
      <c r="A53" s="55" t="inlineStr">
        <is>
          <t>RISK ASSESSMENT</t>
        </is>
      </c>
    </row>
    <row r="55">
      <c r="A55" s="55" t="inlineStr">
        <is>
          <t>OFFICER SAFETY CONSIDERATIONS</t>
        </is>
      </c>
    </row>
    <row r="57">
      <c r="A57" s="55" t="inlineStr">
        <is>
          <t>LEGAL CONSIDERATIONS</t>
        </is>
      </c>
    </row>
    <row r="59">
      <c r="A59" s="55" t="inlineStr">
        <is>
          <t>DISCLOSURE OBLIGATIONS</t>
        </is>
      </c>
    </row>
    <row r="61">
      <c r="A61" s="55" t="inlineStr">
        <is>
          <t>REVIEW SCHEDULE</t>
        </is>
      </c>
    </row>
    <row r="62">
      <c r="A62" s="53" t="inlineStr">
        <is>
          <t>Next Review Date:</t>
        </is>
      </c>
      <c r="B62" s="64" t="inlineStr"/>
      <c r="C62" s="61" t="n"/>
      <c r="D62" s="61" t="n"/>
      <c r="E62" s="61" t="n"/>
      <c r="F62" s="61" t="n"/>
    </row>
    <row r="63">
      <c r="A63" s="53" t="inlineStr">
        <is>
          <t>Review Interval:</t>
        </is>
      </c>
      <c r="B63" s="64" t="inlineStr"/>
      <c r="C63" s="61" t="n"/>
      <c r="D63" s="61" t="n"/>
      <c r="E63" s="61" t="n"/>
      <c r="F63" s="61" t="n"/>
    </row>
    <row r="65">
      <c r="A65" s="55" t="inlineStr">
        <is>
          <t>APPROVALS</t>
        </is>
      </c>
    </row>
    <row r="66">
      <c r="A66" s="53" t="inlineStr">
        <is>
          <t>Investigating Officer:</t>
        </is>
      </c>
      <c r="B66" s="64" t="inlineStr"/>
      <c r="C66" s="61" t="n"/>
      <c r="D66" s="61" t="n"/>
      <c r="E66" s="61" t="n"/>
      <c r="F66" s="61" t="n"/>
    </row>
    <row r="67">
      <c r="A67" s="53" t="inlineStr">
        <is>
          <t>Date:</t>
        </is>
      </c>
      <c r="B67" s="64" t="inlineStr"/>
      <c r="C67" s="61" t="n"/>
      <c r="D67" s="61" t="n"/>
      <c r="E67" s="61" t="n"/>
      <c r="F67" s="61" t="n"/>
    </row>
    <row r="68">
      <c r="A68" s="53" t="inlineStr">
        <is>
          <t>Signature:</t>
        </is>
      </c>
      <c r="B68" s="64" t="inlineStr"/>
      <c r="C68" s="61" t="n"/>
      <c r="D68" s="61" t="n"/>
      <c r="E68" s="61" t="n"/>
      <c r="F68" s="61" t="n"/>
    </row>
    <row r="69">
      <c r="A69" s="53" t="inlineStr">
        <is>
          <t>Supervisor:</t>
        </is>
      </c>
      <c r="B69" s="64" t="inlineStr"/>
      <c r="C69" s="61" t="n"/>
      <c r="D69" s="61" t="n"/>
      <c r="E69" s="61" t="n"/>
      <c r="F69" s="61" t="n"/>
    </row>
    <row r="70">
      <c r="A70" s="53" t="inlineStr">
        <is>
          <t>Date:</t>
        </is>
      </c>
      <c r="B70" s="64" t="inlineStr"/>
      <c r="C70" s="61" t="n"/>
      <c r="D70" s="61" t="n"/>
      <c r="E70" s="61" t="n"/>
      <c r="F70" s="61" t="n"/>
    </row>
    <row r="71">
      <c r="A71" s="53" t="inlineStr">
        <is>
          <t>Signature:</t>
        </is>
      </c>
      <c r="B71" s="64" t="inlineStr"/>
      <c r="C71" s="61" t="n"/>
      <c r="D71" s="61" t="n"/>
      <c r="E71" s="61" t="n"/>
      <c r="F71" s="61" t="n"/>
    </row>
    <row r="72">
      <c r="A72" s="53" t="inlineStr">
        <is>
          <t>Divisional Commander:</t>
        </is>
      </c>
      <c r="B72" s="64" t="inlineStr"/>
      <c r="C72" s="61" t="n"/>
      <c r="D72" s="61" t="n"/>
      <c r="E72" s="61" t="n"/>
      <c r="F72" s="61" t="n"/>
    </row>
    <row r="73">
      <c r="A73" s="53" t="inlineStr">
        <is>
          <t>Date:</t>
        </is>
      </c>
      <c r="B73" s="64" t="inlineStr"/>
      <c r="C73" s="61" t="n"/>
      <c r="D73" s="61" t="n"/>
      <c r="E73" s="61" t="n"/>
      <c r="F73" s="61" t="n"/>
    </row>
    <row r="74">
      <c r="A74" s="53" t="inlineStr">
        <is>
          <t>Signature:</t>
        </is>
      </c>
      <c r="B74" s="64" t="inlineStr"/>
      <c r="C74" s="61" t="n"/>
      <c r="D74" s="61" t="n"/>
      <c r="E74" s="61" t="n"/>
      <c r="F74" s="61" t="n"/>
    </row>
  </sheetData>
  <mergeCells count="56">
    <mergeCell ref="B4:F4"/>
    <mergeCell ref="B7:F7"/>
    <mergeCell ref="A46:F46"/>
    <mergeCell ref="B62:F62"/>
    <mergeCell ref="B72:F72"/>
    <mergeCell ref="A27:F27"/>
    <mergeCell ref="B66:F66"/>
    <mergeCell ref="B31:F31"/>
    <mergeCell ref="A18:F18"/>
    <mergeCell ref="B71:F71"/>
    <mergeCell ref="A26:F26"/>
    <mergeCell ref="A21:F21"/>
    <mergeCell ref="A55:F55"/>
    <mergeCell ref="B70:F70"/>
    <mergeCell ref="B52:F52"/>
    <mergeCell ref="A2:F2"/>
    <mergeCell ref="A57:F57"/>
    <mergeCell ref="B12:F12"/>
    <mergeCell ref="A42:F42"/>
    <mergeCell ref="B11:F11"/>
    <mergeCell ref="A23:F23"/>
    <mergeCell ref="B67:F67"/>
    <mergeCell ref="A22:F22"/>
    <mergeCell ref="A35:F35"/>
    <mergeCell ref="B8:F8"/>
    <mergeCell ref="A53:F53"/>
    <mergeCell ref="B13:F13"/>
    <mergeCell ref="A38:F38"/>
    <mergeCell ref="A65:F65"/>
    <mergeCell ref="B73:F73"/>
    <mergeCell ref="B69:F69"/>
    <mergeCell ref="B34:F34"/>
    <mergeCell ref="A44:F44"/>
    <mergeCell ref="B10:F10"/>
    <mergeCell ref="B37:F37"/>
    <mergeCell ref="A40:F40"/>
    <mergeCell ref="A48:F48"/>
    <mergeCell ref="A30:F30"/>
    <mergeCell ref="A15:F15"/>
    <mergeCell ref="B9:F9"/>
    <mergeCell ref="A59:F59"/>
    <mergeCell ref="B49:F49"/>
    <mergeCell ref="A24:F24"/>
    <mergeCell ref="B68:F68"/>
    <mergeCell ref="B74:F74"/>
    <mergeCell ref="B6:F6"/>
    <mergeCell ref="B33:F33"/>
    <mergeCell ref="A1:F1"/>
    <mergeCell ref="B5:F5"/>
    <mergeCell ref="B51:F51"/>
    <mergeCell ref="A61:F61"/>
    <mergeCell ref="B63:F63"/>
    <mergeCell ref="B36:F36"/>
    <mergeCell ref="B32:F32"/>
    <mergeCell ref="B50:F50"/>
    <mergeCell ref="A25:F25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tabColor rgb="001F3864"/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</cols>
  <sheetData>
    <row r="1">
      <c r="A1" s="51" t="inlineStr">
        <is>
          <t>FNID AREA 3 — CASE FILE COMPLETENESS CHECKLIST</t>
        </is>
      </c>
    </row>
    <row r="3">
      <c r="A3" s="53" t="inlineStr">
        <is>
          <t>Case ID:</t>
        </is>
      </c>
      <c r="B3" s="56" t="n"/>
    </row>
    <row r="4">
      <c r="A4" s="53" t="inlineStr">
        <is>
          <t>Reviewed By:</t>
        </is>
      </c>
      <c r="B4" s="56" t="n"/>
    </row>
    <row r="5">
      <c r="A5" s="53" t="inlineStr">
        <is>
          <t>Review Date:</t>
        </is>
      </c>
      <c r="B5" s="56" t="n"/>
    </row>
    <row r="7">
      <c r="A7" s="21" t="inlineStr">
        <is>
          <t>Document / Item</t>
        </is>
      </c>
      <c r="B7" s="21" t="inlineStr">
        <is>
          <t>Present (Y/N)</t>
        </is>
      </c>
      <c r="C7" s="21" t="inlineStr">
        <is>
          <t>Date Checked</t>
        </is>
      </c>
      <c r="D7" s="21" t="inlineStr">
        <is>
          <t>Notes</t>
        </is>
      </c>
    </row>
    <row r="8">
      <c r="A8" s="68" t="inlineStr">
        <is>
          <t>CORE DOCUMENTS</t>
        </is>
      </c>
    </row>
    <row r="9">
      <c r="A9" s="14" t="inlineStr">
        <is>
          <t>CR1 (Crime Report Initial)</t>
        </is>
      </c>
      <c r="B9" s="69" t="n"/>
      <c r="C9" s="69" t="n"/>
      <c r="D9" s="69" t="n"/>
    </row>
    <row r="10">
      <c r="A10" s="14" t="inlineStr">
        <is>
          <t>CR2 (Crime Report Update)</t>
        </is>
      </c>
      <c r="B10" s="69" t="n"/>
      <c r="C10" s="69" t="n"/>
      <c r="D10" s="69" t="n"/>
    </row>
    <row r="11">
      <c r="A11" s="14" t="inlineStr">
        <is>
          <t>CR5 (Case Disposal Form)</t>
        </is>
      </c>
      <c r="B11" s="69" t="n"/>
      <c r="C11" s="69" t="n"/>
      <c r="D11" s="69" t="n"/>
    </row>
    <row r="12">
      <c r="A12" s="14" t="inlineStr">
        <is>
          <t>Station Diary Extract</t>
        </is>
      </c>
      <c r="B12" s="69" t="n"/>
      <c r="C12" s="69" t="n"/>
      <c r="D12" s="69" t="n"/>
    </row>
    <row r="13">
      <c r="A13" s="14" t="inlineStr">
        <is>
          <t>Investigation Plan (current version)</t>
        </is>
      </c>
      <c r="B13" s="69" t="n"/>
      <c r="C13" s="69" t="n"/>
      <c r="D13" s="69" t="n"/>
    </row>
    <row r="14">
      <c r="A14" s="68" t="inlineStr">
        <is>
          <t>STATEMENTS &amp; INTERVIEWS</t>
        </is>
      </c>
    </row>
    <row r="15">
      <c r="A15" s="14" t="inlineStr">
        <is>
          <t>All witness statements obtained</t>
        </is>
      </c>
      <c r="B15" s="69" t="n"/>
      <c r="C15" s="69" t="n"/>
      <c r="D15" s="69" t="n"/>
    </row>
    <row r="16">
      <c r="A16" s="14" t="inlineStr">
        <is>
          <t>Cautioned statement(s) of suspect(s)</t>
        </is>
      </c>
      <c r="B16" s="69" t="n"/>
      <c r="C16" s="69" t="n"/>
      <c r="D16" s="69" t="n"/>
    </row>
    <row r="17">
      <c r="A17" s="14" t="inlineStr">
        <is>
          <t>Identification parade record</t>
        </is>
      </c>
      <c r="B17" s="69" t="n"/>
      <c r="C17" s="69" t="n"/>
      <c r="D17" s="69" t="n"/>
    </row>
    <row r="18">
      <c r="A18" s="14" t="inlineStr">
        <is>
          <t>Alibi check documentation</t>
        </is>
      </c>
      <c r="B18" s="69" t="n"/>
      <c r="C18" s="69" t="n"/>
      <c r="D18" s="69" t="n"/>
    </row>
    <row r="19">
      <c r="A19" s="68" t="inlineStr">
        <is>
          <t>EVIDENCE &amp; FORENSICS</t>
        </is>
      </c>
    </row>
    <row r="20">
      <c r="A20" s="14" t="inlineStr">
        <is>
          <t>Exhibit register (complete &amp; signed)</t>
        </is>
      </c>
      <c r="B20" s="69" t="n"/>
      <c r="C20" s="69" t="n"/>
      <c r="D20" s="69" t="n"/>
    </row>
    <row r="21">
      <c r="A21" s="14" t="inlineStr">
        <is>
          <t>Chain of custody log for all exhibits</t>
        </is>
      </c>
      <c r="B21" s="69" t="n"/>
      <c r="C21" s="69" t="n"/>
      <c r="D21" s="69" t="n"/>
    </row>
    <row r="22">
      <c r="A22" s="14" t="inlineStr">
        <is>
          <t>Forensic reports received</t>
        </is>
      </c>
      <c r="B22" s="69" t="n"/>
      <c r="C22" s="69" t="n"/>
      <c r="D22" s="69" t="n"/>
    </row>
    <row r="23">
      <c r="A23" s="14" t="inlineStr">
        <is>
          <t>Scene photographs</t>
        </is>
      </c>
      <c r="B23" s="69" t="n"/>
      <c r="C23" s="69" t="n"/>
      <c r="D23" s="69" t="n"/>
    </row>
    <row r="24">
      <c r="A24" s="14" t="inlineStr">
        <is>
          <t>Scene sketch/diagram</t>
        </is>
      </c>
      <c r="B24" s="69" t="n"/>
      <c r="C24" s="69" t="n"/>
      <c r="D24" s="69" t="n"/>
    </row>
    <row r="25">
      <c r="A25" s="14" t="inlineStr">
        <is>
          <t>Scene processing report</t>
        </is>
      </c>
      <c r="B25" s="69" t="n"/>
      <c r="C25" s="69" t="n"/>
      <c r="D25" s="69" t="n"/>
    </row>
    <row r="26">
      <c r="A26" s="68" t="inlineStr">
        <is>
          <t>COURT READINESS</t>
        </is>
      </c>
    </row>
    <row r="27">
      <c r="A27" s="14" t="inlineStr">
        <is>
          <t>Witness list (complete)</t>
        </is>
      </c>
      <c r="B27" s="69" t="n"/>
      <c r="C27" s="69" t="n"/>
      <c r="D27" s="69" t="n"/>
    </row>
    <row r="28">
      <c r="A28" s="14" t="inlineStr">
        <is>
          <t>Witness summonses (served)</t>
        </is>
      </c>
      <c r="B28" s="69" t="n"/>
      <c r="C28" s="69" t="n"/>
      <c r="D28" s="69" t="n"/>
    </row>
    <row r="29">
      <c r="A29" s="14" t="inlineStr">
        <is>
          <t>Witness availability confirmed</t>
        </is>
      </c>
      <c r="B29" s="69" t="n"/>
      <c r="C29" s="69" t="n"/>
      <c r="D29" s="69" t="n"/>
    </row>
    <row r="30">
      <c r="A30" s="14" t="inlineStr">
        <is>
          <t>Prosecution brief (prepared)</t>
        </is>
      </c>
      <c r="B30" s="69" t="n"/>
      <c r="C30" s="69" t="n"/>
      <c r="D30" s="69" t="n"/>
    </row>
    <row r="31">
      <c r="A31" s="14" t="inlineStr">
        <is>
          <t>Disclosure schedule (complete)</t>
        </is>
      </c>
      <c r="B31" s="69" t="n"/>
      <c r="C31" s="69" t="n"/>
      <c r="D31" s="69" t="n"/>
    </row>
    <row r="32">
      <c r="A32" s="68" t="inlineStr">
        <is>
          <t>SUSPECT DOCUMENTATION</t>
        </is>
      </c>
    </row>
    <row r="33">
      <c r="A33" s="14" t="inlineStr">
        <is>
          <t>Suspect caution record</t>
        </is>
      </c>
      <c r="B33" s="69" t="n"/>
      <c r="C33" s="69" t="n"/>
      <c r="D33" s="69" t="n"/>
    </row>
    <row r="34">
      <c r="A34" s="14" t="inlineStr">
        <is>
          <t>Suspect interview record</t>
        </is>
      </c>
      <c r="B34" s="69" t="n"/>
      <c r="C34" s="69" t="n"/>
      <c r="D34" s="69" t="n"/>
    </row>
    <row r="35">
      <c r="A35" s="14" t="inlineStr">
        <is>
          <t>Identification evidence</t>
        </is>
      </c>
      <c r="B35" s="69" t="n"/>
      <c r="C35" s="69" t="n"/>
      <c r="D35" s="69" t="n"/>
    </row>
    <row r="36">
      <c r="A36" s="14" t="inlineStr">
        <is>
          <t>Alibi checked and documented</t>
        </is>
      </c>
      <c r="B36" s="69" t="n"/>
      <c r="C36" s="69" t="n"/>
      <c r="D36" s="69" t="n"/>
    </row>
    <row r="37">
      <c r="A37" s="68" t="inlineStr">
        <is>
          <t>ADMINISTRATIVE</t>
        </is>
      </c>
    </row>
    <row r="38">
      <c r="A38" s="14" t="inlineStr">
        <is>
          <t>Supervisory endorsements present</t>
        </is>
      </c>
      <c r="B38" s="69" t="n"/>
      <c r="C38" s="69" t="n"/>
      <c r="D38" s="69" t="n"/>
    </row>
    <row r="39">
      <c r="A39" s="14" t="inlineStr">
        <is>
          <t>Command conference notes filed</t>
        </is>
      </c>
      <c r="B39" s="69" t="n"/>
      <c r="C39" s="69" t="n"/>
      <c r="D39" s="69" t="n"/>
    </row>
    <row r="40">
      <c r="A40" s="14" t="inlineStr">
        <is>
          <t>Correspondence file complete</t>
        </is>
      </c>
      <c r="B40" s="69" t="n"/>
      <c r="C40" s="69" t="n"/>
      <c r="D40" s="69" t="n"/>
    </row>
    <row r="41">
      <c r="A41" s="14" t="inlineStr">
        <is>
          <t>Victim contact log included</t>
        </is>
      </c>
      <c r="B41" s="69" t="n"/>
      <c r="C41" s="69" t="n"/>
      <c r="D41" s="69" t="n"/>
    </row>
    <row r="43">
      <c r="A43" s="53" t="inlineStr">
        <is>
          <t>Total Items Checked:</t>
        </is>
      </c>
    </row>
    <row r="44">
      <c r="A44" s="53" t="inlineStr">
        <is>
          <t>Items Present:</t>
        </is>
      </c>
    </row>
    <row r="45">
      <c r="A45" s="53" t="inlineStr">
        <is>
          <t>Completeness Score:</t>
        </is>
      </c>
    </row>
    <row r="46">
      <c r="A46" s="53" t="inlineStr">
        <is>
          <t>File Status:</t>
        </is>
      </c>
    </row>
    <row r="48">
      <c r="A48" s="53" t="inlineStr">
        <is>
          <t>Reviewed By:</t>
        </is>
      </c>
      <c r="B48" s="56" t="n"/>
    </row>
    <row r="49">
      <c r="A49" s="53" t="inlineStr">
        <is>
          <t>Signature:</t>
        </is>
      </c>
      <c r="B49" s="56" t="n"/>
    </row>
    <row r="50">
      <c r="A50" s="53" t="inlineStr">
        <is>
          <t>Date:</t>
        </is>
      </c>
      <c r="B50" s="56" t="n"/>
    </row>
  </sheetData>
  <mergeCells count="7">
    <mergeCell ref="A1:D1"/>
    <mergeCell ref="A37:D37"/>
    <mergeCell ref="A8:D8"/>
    <mergeCell ref="A26:D26"/>
    <mergeCell ref="A19:D19"/>
    <mergeCell ref="A32:D32"/>
    <mergeCell ref="A14:D14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tabColor rgb="001F3864"/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51" t="inlineStr">
        <is>
          <t>FNID AREA 3 — WITNESS SUMMONS TRACKING FORM</t>
        </is>
      </c>
    </row>
    <row r="3">
      <c r="A3" s="53" t="inlineStr">
        <is>
          <t>Case ID:</t>
        </is>
      </c>
      <c r="B3" s="64" t="n"/>
      <c r="C3" s="61" t="n"/>
      <c r="D3" s="61" t="n"/>
      <c r="E3" s="61" t="n"/>
      <c r="F3" s="61" t="n"/>
    </row>
    <row r="4">
      <c r="A4" s="53" t="inlineStr">
        <is>
          <t>Court Name:</t>
        </is>
      </c>
      <c r="B4" s="64" t="n"/>
      <c r="C4" s="61" t="n"/>
      <c r="D4" s="61" t="n"/>
      <c r="E4" s="61" t="n"/>
      <c r="F4" s="61" t="n"/>
    </row>
    <row r="5">
      <c r="A5" s="53" t="inlineStr">
        <is>
          <t>Court Date:</t>
        </is>
      </c>
      <c r="B5" s="64" t="n"/>
      <c r="C5" s="61" t="n"/>
      <c r="D5" s="61" t="n"/>
      <c r="E5" s="61" t="n"/>
      <c r="F5" s="61" t="n"/>
    </row>
    <row r="6">
      <c r="A6" s="53" t="inlineStr">
        <is>
          <t>Hearing Type:</t>
        </is>
      </c>
      <c r="B6" s="64" t="n"/>
      <c r="C6" s="61" t="n"/>
      <c r="D6" s="61" t="n"/>
      <c r="E6" s="61" t="n"/>
      <c r="F6" s="61" t="n"/>
    </row>
    <row r="8">
      <c r="A8" s="21" t="inlineStr">
        <is>
          <t>Witness Name</t>
        </is>
      </c>
      <c r="B8" s="21" t="inlineStr">
        <is>
          <t>Summons Date</t>
        </is>
      </c>
      <c r="C8" s="21" t="inlineStr">
        <is>
          <t>Served By</t>
        </is>
      </c>
      <c r="D8" s="21" t="inlineStr">
        <is>
          <t>Served Date</t>
        </is>
      </c>
      <c r="E8" s="21" t="inlineStr">
        <is>
          <t>Served (Y/N)</t>
        </is>
      </c>
      <c r="F8" s="21" t="inlineStr">
        <is>
          <t>Notes</t>
        </is>
      </c>
    </row>
    <row r="9">
      <c r="A9" s="69" t="n"/>
      <c r="B9" s="69" t="n"/>
      <c r="C9" s="69" t="n"/>
      <c r="D9" s="69" t="n"/>
      <c r="E9" s="69" t="n"/>
      <c r="F9" s="69" t="n"/>
    </row>
    <row r="10">
      <c r="A10" s="69" t="n"/>
      <c r="B10" s="69" t="n"/>
      <c r="C10" s="69" t="n"/>
      <c r="D10" s="69" t="n"/>
      <c r="E10" s="69" t="n"/>
      <c r="F10" s="69" t="n"/>
    </row>
    <row r="11">
      <c r="A11" s="69" t="n"/>
      <c r="B11" s="69" t="n"/>
      <c r="C11" s="69" t="n"/>
      <c r="D11" s="69" t="n"/>
      <c r="E11" s="69" t="n"/>
      <c r="F11" s="69" t="n"/>
    </row>
    <row r="12">
      <c r="A12" s="69" t="n"/>
      <c r="B12" s="69" t="n"/>
      <c r="C12" s="69" t="n"/>
      <c r="D12" s="69" t="n"/>
      <c r="E12" s="69" t="n"/>
      <c r="F12" s="69" t="n"/>
    </row>
    <row r="13">
      <c r="A13" s="69" t="n"/>
      <c r="B13" s="69" t="n"/>
      <c r="C13" s="69" t="n"/>
      <c r="D13" s="69" t="n"/>
      <c r="E13" s="69" t="n"/>
      <c r="F13" s="69" t="n"/>
    </row>
    <row r="14">
      <c r="A14" s="69" t="n"/>
      <c r="B14" s="69" t="n"/>
      <c r="C14" s="69" t="n"/>
      <c r="D14" s="69" t="n"/>
      <c r="E14" s="69" t="n"/>
      <c r="F14" s="69" t="n"/>
    </row>
    <row r="15">
      <c r="A15" s="69" t="n"/>
      <c r="B15" s="69" t="n"/>
      <c r="C15" s="69" t="n"/>
      <c r="D15" s="69" t="n"/>
      <c r="E15" s="69" t="n"/>
      <c r="F15" s="69" t="n"/>
    </row>
    <row r="16">
      <c r="A16" s="69" t="n"/>
      <c r="B16" s="69" t="n"/>
      <c r="C16" s="69" t="n"/>
      <c r="D16" s="69" t="n"/>
      <c r="E16" s="69" t="n"/>
      <c r="F16" s="69" t="n"/>
    </row>
    <row r="17">
      <c r="A17" s="69" t="n"/>
      <c r="B17" s="69" t="n"/>
      <c r="C17" s="69" t="n"/>
      <c r="D17" s="69" t="n"/>
      <c r="E17" s="69" t="n"/>
      <c r="F17" s="69" t="n"/>
    </row>
    <row r="18">
      <c r="A18" s="69" t="n"/>
      <c r="B18" s="69" t="n"/>
      <c r="C18" s="69" t="n"/>
      <c r="D18" s="69" t="n"/>
      <c r="E18" s="69" t="n"/>
      <c r="F18" s="69" t="n"/>
    </row>
  </sheetData>
  <mergeCells count="5">
    <mergeCell ref="B4:F4"/>
    <mergeCell ref="B6:F6"/>
    <mergeCell ref="A1:F1"/>
    <mergeCell ref="B3:F3"/>
    <mergeCell ref="B5:F5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tabColor rgb="001F3864"/>
    <outlinePr summaryBelow="1" summaryRight="1"/>
    <pageSetUpPr/>
  </sheetPr>
  <dimension ref="A1:M3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42" customHeight="1">
      <c r="A1" s="70" t="inlineStr">
        <is>
          <t>FNID AREA 3 — REGISTRY DASHBOARD</t>
        </is>
      </c>
    </row>
    <row r="2">
      <c r="A2" s="52" t="inlineStr">
        <is>
          <t>Case Registration, Compliance &amp; File Management Analytics</t>
        </is>
      </c>
    </row>
    <row r="3">
      <c r="A3" s="67" t="inlineStr">
        <is>
          <t>Auto-generated from operational data tables | Refresh: re-open workbook</t>
        </is>
      </c>
    </row>
    <row r="5">
      <c r="A5" s="20" t="inlineStr">
        <is>
          <t>CASE VOLUME</t>
        </is>
      </c>
    </row>
    <row r="6">
      <c r="A6" s="50" t="inlineStr">
        <is>
          <t>Total Cases</t>
        </is>
      </c>
      <c r="B6" s="50" t="inlineStr">
        <is>
          <t>Open</t>
        </is>
      </c>
      <c r="C6" s="50" t="inlineStr">
        <is>
          <t>Active</t>
        </is>
      </c>
      <c r="D6" s="50" t="inlineStr">
        <is>
          <t>Under Investigation</t>
        </is>
      </c>
      <c r="E6" s="50" t="inlineStr">
        <is>
          <t>Pending Review</t>
        </is>
      </c>
      <c r="F6" s="50" t="inlineStr">
        <is>
          <t>Pending Court</t>
        </is>
      </c>
      <c r="G6" s="50" t="inlineStr">
        <is>
          <t>Closed</t>
        </is>
      </c>
      <c r="H6" s="50" t="inlineStr">
        <is>
          <t>Cold Case</t>
        </is>
      </c>
    </row>
    <row r="7">
      <c r="A7" s="26">
        <f>COUNTA(tbl_Cases[CaseID])-COUNTBLANK(tbl_Cases[CaseID])</f>
        <v/>
      </c>
      <c r="B7" s="26">
        <f>COUNTIF(tbl_Cases[CaseStatus],"Open")</f>
        <v/>
      </c>
      <c r="C7" s="26">
        <f>COUNTIF(tbl_Cases[CaseStatus],"Active")</f>
        <v/>
      </c>
      <c r="D7" s="26">
        <f>COUNTIF(tbl_Cases[CaseStatus],"Under Investigation")</f>
        <v/>
      </c>
      <c r="E7" s="26">
        <f>COUNTIF(tbl_Cases[CaseStatus],"Pending Review")</f>
        <v/>
      </c>
      <c r="F7" s="26">
        <f>COUNTIF(tbl_Cases[CaseStatus],"Pending Court")</f>
        <v/>
      </c>
      <c r="G7" s="26">
        <f>COUNTIFS(tbl_Cases[CaseStatus],"Closed*")</f>
        <v/>
      </c>
      <c r="H7" s="26">
        <f>COUNTIF(tbl_Cases[CaseStatus],"Cold Case")</f>
        <v/>
      </c>
    </row>
    <row r="9">
      <c r="A9" s="20" t="inlineStr">
        <is>
          <t>CR COMPLIANCE</t>
        </is>
      </c>
    </row>
    <row r="10">
      <c r="A10" s="50" t="inlineStr">
        <is>
          <t>CR1 Compliant %</t>
        </is>
      </c>
      <c r="B10" s="50" t="inlineStr">
        <is>
          <t>CR2 Compliant %</t>
        </is>
      </c>
      <c r="C10" s="50" t="inlineStr">
        <is>
          <t>CR5 Compliant %</t>
        </is>
      </c>
      <c r="D10" s="50" t="inlineStr">
        <is>
          <t>All CRs Compliant</t>
        </is>
      </c>
      <c r="E10" s="50" t="inlineStr">
        <is>
          <t>Non-Compliant</t>
        </is>
      </c>
      <c r="F10" s="50" t="inlineStr">
        <is>
          <t>Compliance Rate</t>
        </is>
      </c>
    </row>
    <row r="11">
      <c r="A11" s="26">
        <f>IFERROR(COUNTIF(tbl_Cases[CR1_Compliant],"Yes")/COUNTA(tbl_Cases[CR1_Compliant]),"—")</f>
        <v/>
      </c>
      <c r="B11" s="26">
        <f>IFERROR(COUNTIF(tbl_Cases[CR2_Compliant],"Yes")/COUNTA(tbl_Cases[CR2_Compliant]),"—")</f>
        <v/>
      </c>
      <c r="C11" s="26">
        <f>IFERROR(COUNTIF(tbl_Cases[CR5_Compliant],"Yes")/COUNTA(tbl_Cases[CR5_Compliant]),"—")</f>
        <v/>
      </c>
      <c r="D11" s="26">
        <f>COUNTIF(tbl_Cases[ComplianceFlag],"Compliant")</f>
        <v/>
      </c>
      <c r="E11" s="26">
        <f>COUNTIF(tbl_Cases[ComplianceFlag],"Non-Compliant")</f>
        <v/>
      </c>
      <c r="F11" s="26">
        <f>IFERROR(COUNTIF(tbl_Cases[ComplianceFlag],"Compliant")/COUNTA(tbl_Cases[ComplianceFlag]),"—")</f>
        <v/>
      </c>
    </row>
    <row r="13">
      <c r="A13" s="20" t="inlineStr">
        <is>
          <t>REGISTRATION SLA &amp; FILE QUALITY</t>
        </is>
      </c>
    </row>
    <row r="14">
      <c r="A14" s="50" t="inlineStr">
        <is>
          <t>Avg SLA (hrs)</t>
        </is>
      </c>
      <c r="B14" s="50" t="inlineStr">
        <is>
          <t>Registered &lt;24hrs</t>
        </is>
      </c>
      <c r="C14" s="50" t="inlineStr">
        <is>
          <t>Registered &gt;24hrs</t>
        </is>
      </c>
      <c r="D14" s="50" t="inlineStr">
        <is>
          <t>Avg File Score</t>
        </is>
      </c>
      <c r="E14" s="50" t="inlineStr">
        <is>
          <t>Files Complete</t>
        </is>
      </c>
      <c r="F14" s="50" t="inlineStr">
        <is>
          <t>Files Incomplete</t>
        </is>
      </c>
    </row>
    <row r="15">
      <c r="A15" s="26">
        <f>IFERROR(AVERAGE(tbl_Cases[RegistrationSLA_Hrs]),"—")</f>
        <v/>
      </c>
      <c r="B15" s="26">
        <f>COUNTIFS(tbl_Cases[RegistrationSLA_Hrs],"&lt;="&amp;24)</f>
        <v/>
      </c>
      <c r="C15" s="26">
        <f>COUNTIFS(tbl_Cases[RegistrationSLA_Hrs],"&gt;"&amp;24)</f>
        <v/>
      </c>
      <c r="D15" s="26">
        <f>IFERROR(AVERAGE(tbl_Cases[FileCompletenessScore]),"—")</f>
        <v/>
      </c>
      <c r="E15" s="26">
        <f>COUNTIFS(tbl_Cases[FileCompletenessScore],"&gt;="&amp;0.95)</f>
        <v/>
      </c>
      <c r="F15" s="26">
        <f>COUNTIFS(tbl_Cases[FileCompletenessScore],"&lt;"&amp;0.5)</f>
        <v/>
      </c>
    </row>
    <row r="17">
      <c r="A17" s="20" t="inlineStr">
        <is>
          <t>CASE AGING</t>
        </is>
      </c>
    </row>
    <row r="18">
      <c r="A18" s="50" t="inlineStr">
        <is>
          <t>0-30 days</t>
        </is>
      </c>
      <c r="B18" s="50" t="inlineStr">
        <is>
          <t>31-60 days</t>
        </is>
      </c>
      <c r="C18" s="50" t="inlineStr">
        <is>
          <t>61-90 days</t>
        </is>
      </c>
      <c r="D18" s="50" t="inlineStr">
        <is>
          <t>91-180 days</t>
        </is>
      </c>
      <c r="E18" s="50" t="inlineStr">
        <is>
          <t>180+ days</t>
        </is>
      </c>
      <c r="F18" s="50" t="inlineStr">
        <is>
          <t>Avg Days Open</t>
        </is>
      </c>
      <c r="G18" s="50" t="inlineStr">
        <is>
          <t>Max Days Open</t>
        </is>
      </c>
      <c r="H18" s="50" t="inlineStr">
        <is>
          <t>Overdue Actions</t>
        </is>
      </c>
    </row>
    <row r="19">
      <c r="A19" s="26">
        <f>COUNTIF(tbl_Cases[AgingBand],"0-30 days")</f>
        <v/>
      </c>
      <c r="B19" s="26">
        <f>COUNTIF(tbl_Cases[AgingBand],"31-60 days")</f>
        <v/>
      </c>
      <c r="C19" s="26">
        <f>COUNTIF(tbl_Cases[AgingBand],"61-90 days")</f>
        <v/>
      </c>
      <c r="D19" s="26">
        <f>COUNTIF(tbl_Cases[AgingBand],"91-180 days")</f>
        <v/>
      </c>
      <c r="E19" s="26">
        <f>COUNTIF(tbl_Cases[AgingBand],"180+ days")</f>
        <v/>
      </c>
      <c r="F19" s="26">
        <f>IFERROR(AVERAGE(tbl_Cases[DaysOpen]),"—")</f>
        <v/>
      </c>
      <c r="G19" s="26">
        <f>IFERROR(MAX(tbl_Cases[DaysOpen]),"—")</f>
        <v/>
      </c>
      <c r="H19" s="26">
        <f>COUNTIFS(tbl_Actions[DueDate],"&lt;"&amp;TODAY(),tbl_Actions[CompletedDate],"")</f>
        <v/>
      </c>
    </row>
    <row r="21">
      <c r="A21" s="20" t="inlineStr">
        <is>
          <t>DISPOSAL &amp; ARCHIVE</t>
        </is>
      </c>
    </row>
    <row r="22">
      <c r="A22" s="50" t="inlineStr">
        <is>
          <t>Pending Disposal</t>
        </is>
      </c>
      <c r="B22" s="50" t="inlineStr">
        <is>
          <t>Disposed</t>
        </is>
      </c>
      <c r="C22" s="50" t="inlineStr">
        <is>
          <t>Archived</t>
        </is>
      </c>
      <c r="D22" s="50" t="inlineStr">
        <is>
          <t>Awaiting Archive</t>
        </is>
      </c>
    </row>
    <row r="23">
      <c r="A23" s="26">
        <f>COUNTIFS(tbl_Cases[CaseStatus],"Closed*",tbl_Cases[DisposalType],"")</f>
        <v/>
      </c>
      <c r="B23" s="26">
        <f>COUNTIFS(tbl_Cases[DisposalType],"&lt;&gt;")</f>
        <v/>
      </c>
      <c r="C23" s="26">
        <f>COUNTIFS(tbl_Cases[ArchiveRef],"&lt;&gt;")</f>
        <v/>
      </c>
      <c r="D23" s="26">
        <f>COUNTIFS(tbl_Cases[DisposalType],"&lt;&gt;",tbl_Cases[ArchiveRef],"")</f>
        <v/>
      </c>
    </row>
    <row r="25">
      <c r="A25" s="20" t="inlineStr">
        <is>
          <t>OFFENCE BREAKDOWN</t>
        </is>
      </c>
    </row>
    <row r="26">
      <c r="A26" s="50" t="inlineStr">
        <is>
          <t>Firearms Cases</t>
        </is>
      </c>
      <c r="B26" s="50" t="inlineStr">
        <is>
          <t>Narcotics Cases</t>
        </is>
      </c>
      <c r="C26" s="50" t="inlineStr">
        <is>
          <t>Shooting Cases</t>
        </is>
      </c>
      <c r="D26" s="50" t="inlineStr">
        <is>
          <t>Murder Cases</t>
        </is>
      </c>
      <c r="E26" s="50" t="inlineStr">
        <is>
          <t>Conspiracy</t>
        </is>
      </c>
      <c r="F26" s="50" t="inlineStr">
        <is>
          <t>Other</t>
        </is>
      </c>
    </row>
    <row r="27">
      <c r="A27" s="26">
        <f>COUNTIF(tbl_Cases[OffenceType],"*Firearm*")</f>
        <v/>
      </c>
      <c r="B27" s="26">
        <f>COUNTIF(tbl_Cases[OffenceType],"*Narcotics*")+COUNTIF(tbl_Cases[OffenceType],"*Cannabis*")+COUNTIF(tbl_Cases[OffenceType],"*Cocaine*")+COUNTIF(tbl_Cases[OffenceType],"*Drug*")</f>
        <v/>
      </c>
      <c r="C27" s="26">
        <f>COUNTIF(tbl_Cases[OffenceType],"*Shooting*")</f>
        <v/>
      </c>
      <c r="D27" s="26">
        <f>COUNTIF(tbl_Cases[OffenceType],"*Murder*")</f>
        <v/>
      </c>
      <c r="E27" s="26">
        <f>COUNTIF(tbl_Cases[OffenceType],"*Conspiracy*")</f>
        <v/>
      </c>
      <c r="F27" s="26">
        <f>COUNTIF(tbl_Cases[OffenceType],"Other*")</f>
        <v/>
      </c>
    </row>
    <row r="29">
      <c r="A29" s="20" t="inlineStr">
        <is>
          <t>MONTHLY TREND (Current Year)</t>
        </is>
      </c>
    </row>
    <row r="30">
      <c r="A30" s="58" t="inlineStr">
        <is>
          <t>Metric</t>
        </is>
      </c>
      <c r="B30" s="21" t="inlineStr">
        <is>
          <t>Jan</t>
        </is>
      </c>
      <c r="C30" s="21" t="inlineStr">
        <is>
          <t>Feb</t>
        </is>
      </c>
      <c r="D30" s="21" t="inlineStr">
        <is>
          <t>Mar</t>
        </is>
      </c>
      <c r="E30" s="21" t="inlineStr">
        <is>
          <t>Apr</t>
        </is>
      </c>
      <c r="F30" s="21" t="inlineStr">
        <is>
          <t>May</t>
        </is>
      </c>
      <c r="G30" s="21" t="inlineStr">
        <is>
          <t>Jun</t>
        </is>
      </c>
      <c r="H30" s="21" t="inlineStr">
        <is>
          <t>Jul</t>
        </is>
      </c>
      <c r="I30" s="21" t="inlineStr">
        <is>
          <t>Aug</t>
        </is>
      </c>
      <c r="J30" s="21" t="inlineStr">
        <is>
          <t>Sep</t>
        </is>
      </c>
      <c r="K30" s="21" t="inlineStr">
        <is>
          <t>Oct</t>
        </is>
      </c>
      <c r="L30" s="21" t="inlineStr">
        <is>
          <t>Nov</t>
        </is>
      </c>
      <c r="M30" s="21" t="inlineStr">
        <is>
          <t>Dec</t>
        </is>
      </c>
    </row>
    <row r="31">
      <c r="A31" s="28" t="inlineStr">
        <is>
          <t>Cases Registered</t>
        </is>
      </c>
      <c r="B31" s="22">
        <f>COUNTIFS(tbl_Cases[Month],1,tbl_Cases[Year],YEAR(TODAY()))</f>
        <v/>
      </c>
      <c r="C31" s="22">
        <f>COUNTIFS(tbl_Cases[Month],2,tbl_Cases[Year],YEAR(TODAY()))</f>
        <v/>
      </c>
      <c r="D31" s="22">
        <f>COUNTIFS(tbl_Cases[Month],3,tbl_Cases[Year],YEAR(TODAY()))</f>
        <v/>
      </c>
      <c r="E31" s="22">
        <f>COUNTIFS(tbl_Cases[Month],4,tbl_Cases[Year],YEAR(TODAY()))</f>
        <v/>
      </c>
      <c r="F31" s="22">
        <f>COUNTIFS(tbl_Cases[Month],5,tbl_Cases[Year],YEAR(TODAY()))</f>
        <v/>
      </c>
      <c r="G31" s="22">
        <f>COUNTIFS(tbl_Cases[Month],6,tbl_Cases[Year],YEAR(TODAY()))</f>
        <v/>
      </c>
      <c r="H31" s="22">
        <f>COUNTIFS(tbl_Cases[Month],7,tbl_Cases[Year],YEAR(TODAY()))</f>
        <v/>
      </c>
      <c r="I31" s="22">
        <f>COUNTIFS(tbl_Cases[Month],8,tbl_Cases[Year],YEAR(TODAY()))</f>
        <v/>
      </c>
      <c r="J31" s="22">
        <f>COUNTIFS(tbl_Cases[Month],9,tbl_Cases[Year],YEAR(TODAY()))</f>
        <v/>
      </c>
      <c r="K31" s="22">
        <f>COUNTIFS(tbl_Cases[Month],10,tbl_Cases[Year],YEAR(TODAY()))</f>
        <v/>
      </c>
      <c r="L31" s="22">
        <f>COUNTIFS(tbl_Cases[Month],11,tbl_Cases[Year],YEAR(TODAY()))</f>
        <v/>
      </c>
      <c r="M31" s="22">
        <f>COUNTIFS(tbl_Cases[Month],12,tbl_Cases[Year],YEAR(TODAY()))</f>
        <v/>
      </c>
    </row>
    <row r="32">
      <c r="A32" s="28" t="inlineStr">
        <is>
          <t>Cases Closed</t>
        </is>
      </c>
      <c r="B32" s="22">
        <f>COUNTIFS(tbl_Cases[CaseStatus],"Closed*",tbl_Cases[Month],1,tbl_Cases[Year],YEAR(TODAY()))</f>
        <v/>
      </c>
      <c r="C32" s="22">
        <f>COUNTIFS(tbl_Cases[CaseStatus],"Closed*",tbl_Cases[Month],2,tbl_Cases[Year],YEAR(TODAY()))</f>
        <v/>
      </c>
      <c r="D32" s="22">
        <f>COUNTIFS(tbl_Cases[CaseStatus],"Closed*",tbl_Cases[Month],3,tbl_Cases[Year],YEAR(TODAY()))</f>
        <v/>
      </c>
      <c r="E32" s="22">
        <f>COUNTIFS(tbl_Cases[CaseStatus],"Closed*",tbl_Cases[Month],4,tbl_Cases[Year],YEAR(TODAY()))</f>
        <v/>
      </c>
      <c r="F32" s="22">
        <f>COUNTIFS(tbl_Cases[CaseStatus],"Closed*",tbl_Cases[Month],5,tbl_Cases[Year],YEAR(TODAY()))</f>
        <v/>
      </c>
      <c r="G32" s="22">
        <f>COUNTIFS(tbl_Cases[CaseStatus],"Closed*",tbl_Cases[Month],6,tbl_Cases[Year],YEAR(TODAY()))</f>
        <v/>
      </c>
      <c r="H32" s="22">
        <f>COUNTIFS(tbl_Cases[CaseStatus],"Closed*",tbl_Cases[Month],7,tbl_Cases[Year],YEAR(TODAY()))</f>
        <v/>
      </c>
      <c r="I32" s="22">
        <f>COUNTIFS(tbl_Cases[CaseStatus],"Closed*",tbl_Cases[Month],8,tbl_Cases[Year],YEAR(TODAY()))</f>
        <v/>
      </c>
      <c r="J32" s="22">
        <f>COUNTIFS(tbl_Cases[CaseStatus],"Closed*",tbl_Cases[Month],9,tbl_Cases[Year],YEAR(TODAY()))</f>
        <v/>
      </c>
      <c r="K32" s="22">
        <f>COUNTIFS(tbl_Cases[CaseStatus],"Closed*",tbl_Cases[Month],10,tbl_Cases[Year],YEAR(TODAY()))</f>
        <v/>
      </c>
      <c r="L32" s="22">
        <f>COUNTIFS(tbl_Cases[CaseStatus],"Closed*",tbl_Cases[Month],11,tbl_Cases[Year],YEAR(TODAY()))</f>
        <v/>
      </c>
      <c r="M32" s="22">
        <f>COUNTIFS(tbl_Cases[CaseStatus],"Closed*",tbl_Cases[Month],12,tbl_Cases[Year],YEAR(TODAY()))</f>
        <v/>
      </c>
    </row>
    <row r="33">
      <c r="A33" s="28" t="inlineStr">
        <is>
          <t>Non-Compliant</t>
        </is>
      </c>
      <c r="B33" s="22">
        <f>COUNTIFS(tbl_Cases[ComplianceFlag],"Non-Compliant",tbl_Cases[Month],1,tbl_Cases[Year],YEAR(TODAY()))</f>
        <v/>
      </c>
      <c r="C33" s="22">
        <f>COUNTIFS(tbl_Cases[ComplianceFlag],"Non-Compliant",tbl_Cases[Month],2,tbl_Cases[Year],YEAR(TODAY()))</f>
        <v/>
      </c>
      <c r="D33" s="22">
        <f>COUNTIFS(tbl_Cases[ComplianceFlag],"Non-Compliant",tbl_Cases[Month],3,tbl_Cases[Year],YEAR(TODAY()))</f>
        <v/>
      </c>
      <c r="E33" s="22">
        <f>COUNTIFS(tbl_Cases[ComplianceFlag],"Non-Compliant",tbl_Cases[Month],4,tbl_Cases[Year],YEAR(TODAY()))</f>
        <v/>
      </c>
      <c r="F33" s="22">
        <f>COUNTIFS(tbl_Cases[ComplianceFlag],"Non-Compliant",tbl_Cases[Month],5,tbl_Cases[Year],YEAR(TODAY()))</f>
        <v/>
      </c>
      <c r="G33" s="22">
        <f>COUNTIFS(tbl_Cases[ComplianceFlag],"Non-Compliant",tbl_Cases[Month],6,tbl_Cases[Year],YEAR(TODAY()))</f>
        <v/>
      </c>
      <c r="H33" s="22">
        <f>COUNTIFS(tbl_Cases[ComplianceFlag],"Non-Compliant",tbl_Cases[Month],7,tbl_Cases[Year],YEAR(TODAY()))</f>
        <v/>
      </c>
      <c r="I33" s="22">
        <f>COUNTIFS(tbl_Cases[ComplianceFlag],"Non-Compliant",tbl_Cases[Month],8,tbl_Cases[Year],YEAR(TODAY()))</f>
        <v/>
      </c>
      <c r="J33" s="22">
        <f>COUNTIFS(tbl_Cases[ComplianceFlag],"Non-Compliant",tbl_Cases[Month],9,tbl_Cases[Year],YEAR(TODAY()))</f>
        <v/>
      </c>
      <c r="K33" s="22">
        <f>COUNTIFS(tbl_Cases[ComplianceFlag],"Non-Compliant",tbl_Cases[Month],10,tbl_Cases[Year],YEAR(TODAY()))</f>
        <v/>
      </c>
      <c r="L33" s="22">
        <f>COUNTIFS(tbl_Cases[ComplianceFlag],"Non-Compliant",tbl_Cases[Month],11,tbl_Cases[Year],YEAR(TODAY()))</f>
        <v/>
      </c>
      <c r="M33" s="22">
        <f>COUNTIFS(tbl_Cases[ComplianceFlag],"Non-Compliant",tbl_Cases[Month],12,tbl_Cases[Year],YEAR(TODAY()))</f>
        <v/>
      </c>
    </row>
  </sheetData>
  <mergeCells count="10">
    <mergeCell ref="A2:L2"/>
    <mergeCell ref="A29:L29"/>
    <mergeCell ref="A25:L25"/>
    <mergeCell ref="A1:L1"/>
    <mergeCell ref="A5:L5"/>
    <mergeCell ref="A13:L13"/>
    <mergeCell ref="A17:L17"/>
    <mergeCell ref="A9:L9"/>
    <mergeCell ref="A3:L3"/>
    <mergeCell ref="A21:L21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tabColor rgb="001F3864"/>
    <outlinePr summaryBelow="1" summaryRight="1"/>
    <pageSetUpPr/>
  </sheetPr>
  <dimension ref="A1:M3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42" customHeight="1">
      <c r="A1" s="70" t="inlineStr">
        <is>
          <t>FNID AREA 3 — INVESTIGATIONS DASHBOARD</t>
        </is>
      </c>
    </row>
    <row r="2">
      <c r="A2" s="52" t="inlineStr">
        <is>
          <t>Case Progress, Witness Management, Reviews, Court Readiness &amp; SOP Compliance</t>
        </is>
      </c>
    </row>
    <row r="3">
      <c r="A3" s="67" t="inlineStr">
        <is>
          <t>Auto-generated from operational data tables | Refresh: re-open workbook</t>
        </is>
      </c>
    </row>
    <row r="5">
      <c r="A5" s="20" t="inlineStr">
        <is>
          <t>CASE STATUS</t>
        </is>
      </c>
    </row>
    <row r="6">
      <c r="A6" s="50" t="inlineStr">
        <is>
          <t>Under Investigation</t>
        </is>
      </c>
      <c r="B6" s="50" t="inlineStr">
        <is>
          <t>Pending Court</t>
        </is>
      </c>
      <c r="C6" s="50" t="inlineStr">
        <is>
          <t>Cold Cases</t>
        </is>
      </c>
      <c r="D6" s="50" t="inlineStr">
        <is>
          <t>Clearance Rate</t>
        </is>
      </c>
      <c r="E6" s="50" t="inlineStr">
        <is>
          <t>Avg Days Open</t>
        </is>
      </c>
      <c r="F6" s="50" t="inlineStr">
        <is>
          <t>Cases &gt;90d</t>
        </is>
      </c>
    </row>
    <row r="7">
      <c r="A7" s="26">
        <f>COUNTIF(tbl_Cases[CaseStatus],"Under Investigation")</f>
        <v/>
      </c>
      <c r="B7" s="26">
        <f>COUNTIF(tbl_Cases[CaseStatus],"Pending Court")</f>
        <v/>
      </c>
      <c r="C7" s="26">
        <f>COUNTIF(tbl_Cases[CaseStatus],"Cold Case")</f>
        <v/>
      </c>
      <c r="D7" s="26">
        <f>IFERROR(COUNTIFS(tbl_Cases[CaseStatus],"Closed*")/(COUNTA(tbl_Cases[CaseID])-COUNTBLANK(tbl_Cases[CaseID])),"—")</f>
        <v/>
      </c>
      <c r="E7" s="26">
        <f>IFERROR(AVERAGE(tbl_Cases[DaysOpen]),"—")</f>
        <v/>
      </c>
      <c r="F7" s="26">
        <f>COUNTIFS(tbl_Cases[DaysOpen],"&gt;"&amp;90)</f>
        <v/>
      </c>
    </row>
    <row r="9">
      <c r="A9" s="20" t="inlineStr">
        <is>
          <t>WITNESS &amp; STATEMENT MANAGEMENT</t>
        </is>
      </c>
    </row>
    <row r="10">
      <c r="A10" s="50" t="inlineStr">
        <is>
          <t>Total Witnesses</t>
        </is>
      </c>
      <c r="B10" s="50" t="inlineStr">
        <is>
          <t>Statements Taken</t>
        </is>
      </c>
      <c r="C10" s="50" t="inlineStr">
        <is>
          <t>Cautioned Stmts</t>
        </is>
      </c>
      <c r="D10" s="50" t="inlineStr">
        <is>
          <t>Willing to Testify</t>
        </is>
      </c>
      <c r="E10" s="50" t="inlineStr">
        <is>
          <t>Summons Issued</t>
        </is>
      </c>
      <c r="F10" s="50" t="inlineStr">
        <is>
          <t>Summons Unserved</t>
        </is>
      </c>
      <c r="G10" s="50" t="inlineStr">
        <is>
          <t>Protection Req</t>
        </is>
      </c>
      <c r="H10" s="50" t="inlineStr">
        <is>
          <t>Vulnerable</t>
        </is>
      </c>
    </row>
    <row r="11">
      <c r="A11" s="26">
        <f>COUNTA(tbl_Witnesses[WitnessID])-COUNTBLANK(tbl_Witnesses[WitnessID])</f>
        <v/>
      </c>
      <c r="B11" s="26">
        <f>COUNTA(tbl_Statements[StatementID])-COUNTBLANK(tbl_Statements[StatementID])</f>
        <v/>
      </c>
      <c r="C11" s="26">
        <f>COUNTIF(tbl_Statements[CautionGiven],"Yes")</f>
        <v/>
      </c>
      <c r="D11" s="26">
        <f>COUNTIF(tbl_Witnesses[WillingToTestify],"Yes")</f>
        <v/>
      </c>
      <c r="E11" s="26">
        <f>COUNTIF(tbl_Witnesses[SummonsIssued],"Yes")</f>
        <v/>
      </c>
      <c r="F11" s="26">
        <f>COUNTIFS(tbl_Witnesses[SummonsIssued],"Yes",tbl_Witnesses[SummonsServed],"No")</f>
        <v/>
      </c>
      <c r="G11" s="26">
        <f>COUNTIF(tbl_Witnesses[ProtectionRequired],"Yes")</f>
        <v/>
      </c>
      <c r="H11" s="26">
        <f>COUNTIF(tbl_Witnesses[VulnerableWitness],"Yes")</f>
        <v/>
      </c>
    </row>
    <row r="13">
      <c r="A13" s="20" t="inlineStr">
        <is>
          <t>SUPERVISORY REVIEWS &amp; DIRECTIVES</t>
        </is>
      </c>
    </row>
    <row r="14">
      <c r="A14" s="50" t="inlineStr">
        <is>
          <t>Reviews Done</t>
        </is>
      </c>
      <c r="B14" s="50" t="inlineStr">
        <is>
          <t>Reviews Overdue</t>
        </is>
      </c>
      <c r="C14" s="50" t="inlineStr">
        <is>
          <t>Directives Issued</t>
        </is>
      </c>
      <c r="D14" s="50" t="inlineStr">
        <is>
          <t>Directives Overdue</t>
        </is>
      </c>
      <c r="E14" s="50" t="inlineStr">
        <is>
          <t>Escalations</t>
        </is>
      </c>
      <c r="F14" s="50" t="inlineStr">
        <is>
          <t>Conferences Held</t>
        </is>
      </c>
    </row>
    <row r="15">
      <c r="A15" s="26">
        <f>COUNTA(tbl_Reviews[ReviewID])-COUNTBLANK(tbl_Reviews[ReviewID])</f>
        <v/>
      </c>
      <c r="B15" s="26">
        <f>COUNTIFS(tbl_Reviews[NextReviewDue],"&lt;"&amp;TODAY())</f>
        <v/>
      </c>
      <c r="C15" s="26">
        <f>COUNTIFS(tbl_Reviews[DirectivesIssued],"&lt;&gt;")</f>
        <v/>
      </c>
      <c r="D15" s="26">
        <f>COUNTIFS(tbl_Reviews[DirectiveDueDate],"&lt;"&amp;TODAY(),tbl_Reviews[DirectiveStatus],"&lt;&gt;Completed")</f>
        <v/>
      </c>
      <c r="E15" s="26">
        <f>COUNTIF(tbl_Reviews[EscalationRequired],"Yes")</f>
        <v/>
      </c>
      <c r="F15" s="26">
        <f>COUNTA(tbl_CommandConference[ConferenceID])-COUNTBLANK(tbl_CommandConference[ConferenceID])</f>
        <v/>
      </c>
    </row>
    <row r="17">
      <c r="A17" s="20" t="inlineStr">
        <is>
          <t>INVESTIGATION PLANS &amp; ASSIGNMENTS</t>
        </is>
      </c>
    </row>
    <row r="18">
      <c r="A18" s="50" t="inlineStr">
        <is>
          <t>Active Plans</t>
        </is>
      </c>
      <c r="B18" s="50" t="inlineStr">
        <is>
          <t>Plan Reviews Due</t>
        </is>
      </c>
      <c r="C18" s="50" t="inlineStr">
        <is>
          <t>Assignments</t>
        </is>
      </c>
      <c r="D18" s="50" t="inlineStr">
        <is>
          <t>Reassignments</t>
        </is>
      </c>
      <c r="E18" s="50" t="inlineStr">
        <is>
          <t>Pending Ack</t>
        </is>
      </c>
      <c r="F18" s="50" t="inlineStr">
        <is>
          <t>Diary Entries</t>
        </is>
      </c>
    </row>
    <row r="19">
      <c r="A19" s="26">
        <f>COUNTIF(tbl_InvestigationPlans[PlanStatus],"Active")</f>
        <v/>
      </c>
      <c r="B19" s="26">
        <f>COUNTIFS(tbl_InvestigationPlans[NextReviewDate],"&lt;"&amp;TODAY())</f>
        <v/>
      </c>
      <c r="C19" s="26">
        <f>COUNTA(tbl_CaseAssignments[AssignmentID])-COUNTBLANK(tbl_CaseAssignments[AssignmentID])</f>
        <v/>
      </c>
      <c r="D19" s="26">
        <f>COUNTIF(tbl_CaseAssignments[AssignmentType],"Reassignment")</f>
        <v/>
      </c>
      <c r="E19" s="26">
        <f>COUNTIFS(tbl_CaseAssignments[AcknowledgedByReceiver],"No")</f>
        <v/>
      </c>
      <c r="F19" s="26">
        <f>COUNTA(tbl_DiaryEntries[DiaryID])-COUNTBLANK(tbl_DiaryEntries[DiaryID])</f>
        <v/>
      </c>
    </row>
    <row r="21">
      <c r="A21" s="20" t="inlineStr">
        <is>
          <t>VICTIM MANAGEMENT</t>
        </is>
      </c>
    </row>
    <row r="22">
      <c r="A22" s="50" t="inlineStr">
        <is>
          <t>Victim Contacts</t>
        </is>
      </c>
      <c r="B22" s="50" t="inlineStr">
        <is>
          <t>Satisfied</t>
        </is>
      </c>
      <c r="C22" s="50" t="inlineStr">
        <is>
          <t>Concerns Raised</t>
        </is>
      </c>
      <c r="D22" s="50" t="inlineStr">
        <is>
          <t>Referrals</t>
        </is>
      </c>
      <c r="E22" s="50" t="inlineStr">
        <is>
          <t>Safety Plans</t>
        </is>
      </c>
      <c r="F22" s="50" t="inlineStr">
        <is>
          <t>Contact Overdue</t>
        </is>
      </c>
    </row>
    <row r="23">
      <c r="A23" s="26">
        <f>COUNTA(tbl_VictimContact[ContactID])-COUNTBLANK(tbl_VictimContact[ContactID])</f>
        <v/>
      </c>
      <c r="B23" s="26">
        <f>COUNTIF(tbl_VictimContact[VictimSatisfied],"Yes")</f>
        <v/>
      </c>
      <c r="C23" s="26">
        <f>COUNTIFS(tbl_VictimContact[ConcernsRaised],"&lt;&gt;")</f>
        <v/>
      </c>
      <c r="D23" s="26">
        <f>COUNTIF(tbl_VictimContact[ReferralMade],"Yes")</f>
        <v/>
      </c>
      <c r="E23" s="26">
        <f>COUNTIF(tbl_VictimContact[SafetyPlanInPlace],"Yes")</f>
        <v/>
      </c>
      <c r="F23" s="26">
        <f>COUNTIFS(tbl_VictimContact[NextScheduledContact],"&lt;"&amp;TODAY())</f>
        <v/>
      </c>
    </row>
    <row r="25">
      <c r="A25" s="20" t="inlineStr">
        <is>
          <t>COURT &amp; DISCLOSURE</t>
        </is>
      </c>
    </row>
    <row r="26">
      <c r="A26" s="50" t="inlineStr">
        <is>
          <t>Upcoming Ct (7d)</t>
        </is>
      </c>
      <c r="B26" s="50" t="inlineStr">
        <is>
          <t>Total Hearings</t>
        </is>
      </c>
      <c r="C26" s="50" t="inlineStr">
        <is>
          <t>48hr Met</t>
        </is>
      </c>
      <c r="D26" s="50" t="inlineStr">
        <is>
          <t>48hr Missed</t>
        </is>
      </c>
      <c r="E26" s="50" t="inlineStr">
        <is>
          <t>Disclosures</t>
        </is>
      </c>
      <c r="F26" s="50" t="inlineStr">
        <is>
          <t>Redactions Req</t>
        </is>
      </c>
    </row>
    <row r="27">
      <c r="A27" s="26">
        <f>COUNTIFS(tbl_CourtDates[HearingDate],"&gt;="&amp;TODAY(),tbl_CourtDates[HearingDate],"&lt;="&amp;TODAY()+7)</f>
        <v/>
      </c>
      <c r="B27" s="26">
        <f>COUNTA(tbl_CourtDates[CourtID])-COUNTBLANK(tbl_CourtDates[CourtID])</f>
        <v/>
      </c>
      <c r="C27" s="26">
        <f>COUNTIF(tbl_Cases[ChargeDeadlineMet],"Yes")</f>
        <v/>
      </c>
      <c r="D27" s="26">
        <f>COUNTIF(tbl_Cases[ChargeDeadlineMet],"No")</f>
        <v/>
      </c>
      <c r="E27" s="26">
        <f>COUNTA(tbl_Disclosure[DisclosureID])-COUNTBLANK(tbl_Disclosure[DisclosureID])</f>
        <v/>
      </c>
      <c r="F27" s="26">
        <f>COUNTIF(tbl_Disclosure[RedactionRequired],"Yes")</f>
        <v/>
      </c>
    </row>
    <row r="29">
      <c r="A29" s="20" t="inlineStr">
        <is>
          <t>MONTHLY TREND (Current Year)</t>
        </is>
      </c>
    </row>
    <row r="30">
      <c r="A30" s="58" t="inlineStr">
        <is>
          <t>Metric</t>
        </is>
      </c>
      <c r="B30" s="21" t="inlineStr">
        <is>
          <t>Jan</t>
        </is>
      </c>
      <c r="C30" s="21" t="inlineStr">
        <is>
          <t>Feb</t>
        </is>
      </c>
      <c r="D30" s="21" t="inlineStr">
        <is>
          <t>Mar</t>
        </is>
      </c>
      <c r="E30" s="21" t="inlineStr">
        <is>
          <t>Apr</t>
        </is>
      </c>
      <c r="F30" s="21" t="inlineStr">
        <is>
          <t>May</t>
        </is>
      </c>
      <c r="G30" s="21" t="inlineStr">
        <is>
          <t>Jun</t>
        </is>
      </c>
      <c r="H30" s="21" t="inlineStr">
        <is>
          <t>Jul</t>
        </is>
      </c>
      <c r="I30" s="21" t="inlineStr">
        <is>
          <t>Aug</t>
        </is>
      </c>
      <c r="J30" s="21" t="inlineStr">
        <is>
          <t>Sep</t>
        </is>
      </c>
      <c r="K30" s="21" t="inlineStr">
        <is>
          <t>Oct</t>
        </is>
      </c>
      <c r="L30" s="21" t="inlineStr">
        <is>
          <t>Nov</t>
        </is>
      </c>
      <c r="M30" s="21" t="inlineStr">
        <is>
          <t>Dec</t>
        </is>
      </c>
    </row>
    <row r="31">
      <c r="A31" s="28" t="inlineStr">
        <is>
          <t>Cases Closed</t>
        </is>
      </c>
      <c r="B31" s="22">
        <f>COUNTIFS(tbl_Cases[CaseStatus],"Closed*",tbl_Cases[Month],1,tbl_Cases[Year],YEAR(TODAY()))</f>
        <v/>
      </c>
      <c r="C31" s="22">
        <f>COUNTIFS(tbl_Cases[CaseStatus],"Closed*",tbl_Cases[Month],2,tbl_Cases[Year],YEAR(TODAY()))</f>
        <v/>
      </c>
      <c r="D31" s="22">
        <f>COUNTIFS(tbl_Cases[CaseStatus],"Closed*",tbl_Cases[Month],3,tbl_Cases[Year],YEAR(TODAY()))</f>
        <v/>
      </c>
      <c r="E31" s="22">
        <f>COUNTIFS(tbl_Cases[CaseStatus],"Closed*",tbl_Cases[Month],4,tbl_Cases[Year],YEAR(TODAY()))</f>
        <v/>
      </c>
      <c r="F31" s="22">
        <f>COUNTIFS(tbl_Cases[CaseStatus],"Closed*",tbl_Cases[Month],5,tbl_Cases[Year],YEAR(TODAY()))</f>
        <v/>
      </c>
      <c r="G31" s="22">
        <f>COUNTIFS(tbl_Cases[CaseStatus],"Closed*",tbl_Cases[Month],6,tbl_Cases[Year],YEAR(TODAY()))</f>
        <v/>
      </c>
      <c r="H31" s="22">
        <f>COUNTIFS(tbl_Cases[CaseStatus],"Closed*",tbl_Cases[Month],7,tbl_Cases[Year],YEAR(TODAY()))</f>
        <v/>
      </c>
      <c r="I31" s="22">
        <f>COUNTIFS(tbl_Cases[CaseStatus],"Closed*",tbl_Cases[Month],8,tbl_Cases[Year],YEAR(TODAY()))</f>
        <v/>
      </c>
      <c r="J31" s="22">
        <f>COUNTIFS(tbl_Cases[CaseStatus],"Closed*",tbl_Cases[Month],9,tbl_Cases[Year],YEAR(TODAY()))</f>
        <v/>
      </c>
      <c r="K31" s="22">
        <f>COUNTIFS(tbl_Cases[CaseStatus],"Closed*",tbl_Cases[Month],10,tbl_Cases[Year],YEAR(TODAY()))</f>
        <v/>
      </c>
      <c r="L31" s="22">
        <f>COUNTIFS(tbl_Cases[CaseStatus],"Closed*",tbl_Cases[Month],11,tbl_Cases[Year],YEAR(TODAY()))</f>
        <v/>
      </c>
      <c r="M31" s="22">
        <f>COUNTIFS(tbl_Cases[CaseStatus],"Closed*",tbl_Cases[Month],12,tbl_Cases[Year],YEAR(TODAY()))</f>
        <v/>
      </c>
    </row>
    <row r="32">
      <c r="A32" s="28" t="inlineStr">
        <is>
          <t>Statements Taken</t>
        </is>
      </c>
      <c r="B32" s="22">
        <f>COUNTIFS(tbl_Statements[StatementDate],"&gt;="&amp;DATE(YEAR(TODAY()),1,1),tbl_Statements[StatementDate],"&lt;"&amp;DATE(YEAR(TODAY()),1+1,1))</f>
        <v/>
      </c>
      <c r="C32" s="22">
        <f>COUNTIFS(tbl_Statements[StatementDate],"&gt;="&amp;DATE(YEAR(TODAY()),2,1),tbl_Statements[StatementDate],"&lt;"&amp;DATE(YEAR(TODAY()),2+1,1))</f>
        <v/>
      </c>
      <c r="D32" s="22">
        <f>COUNTIFS(tbl_Statements[StatementDate],"&gt;="&amp;DATE(YEAR(TODAY()),3,1),tbl_Statements[StatementDate],"&lt;"&amp;DATE(YEAR(TODAY()),3+1,1))</f>
        <v/>
      </c>
      <c r="E32" s="22">
        <f>COUNTIFS(tbl_Statements[StatementDate],"&gt;="&amp;DATE(YEAR(TODAY()),4,1),tbl_Statements[StatementDate],"&lt;"&amp;DATE(YEAR(TODAY()),4+1,1))</f>
        <v/>
      </c>
      <c r="F32" s="22">
        <f>COUNTIFS(tbl_Statements[StatementDate],"&gt;="&amp;DATE(YEAR(TODAY()),5,1),tbl_Statements[StatementDate],"&lt;"&amp;DATE(YEAR(TODAY()),5+1,1))</f>
        <v/>
      </c>
      <c r="G32" s="22">
        <f>COUNTIFS(tbl_Statements[StatementDate],"&gt;="&amp;DATE(YEAR(TODAY()),6,1),tbl_Statements[StatementDate],"&lt;"&amp;DATE(YEAR(TODAY()),6+1,1))</f>
        <v/>
      </c>
      <c r="H32" s="22">
        <f>COUNTIFS(tbl_Statements[StatementDate],"&gt;="&amp;DATE(YEAR(TODAY()),7,1),tbl_Statements[StatementDate],"&lt;"&amp;DATE(YEAR(TODAY()),7+1,1))</f>
        <v/>
      </c>
      <c r="I32" s="22">
        <f>COUNTIFS(tbl_Statements[StatementDate],"&gt;="&amp;DATE(YEAR(TODAY()),8,1),tbl_Statements[StatementDate],"&lt;"&amp;DATE(YEAR(TODAY()),8+1,1))</f>
        <v/>
      </c>
      <c r="J32" s="22">
        <f>COUNTIFS(tbl_Statements[StatementDate],"&gt;="&amp;DATE(YEAR(TODAY()),9,1),tbl_Statements[StatementDate],"&lt;"&amp;DATE(YEAR(TODAY()),9+1,1))</f>
        <v/>
      </c>
      <c r="K32" s="22">
        <f>COUNTIFS(tbl_Statements[StatementDate],"&gt;="&amp;DATE(YEAR(TODAY()),10,1),tbl_Statements[StatementDate],"&lt;"&amp;DATE(YEAR(TODAY()),10+1,1))</f>
        <v/>
      </c>
      <c r="L32" s="22">
        <f>COUNTIFS(tbl_Statements[StatementDate],"&gt;="&amp;DATE(YEAR(TODAY()),11,1),tbl_Statements[StatementDate],"&lt;"&amp;DATE(YEAR(TODAY()),11+1,1))</f>
        <v/>
      </c>
      <c r="M32" s="22">
        <f>COUNTIFS(tbl_Statements[StatementDate],"&gt;="&amp;DATE(YEAR(TODAY()),12,1),tbl_Statements[StatementDate],"&lt;"&amp;DATE(YEAR(TODAY()),12+1,1))</f>
        <v/>
      </c>
    </row>
    <row r="33">
      <c r="A33" s="28" t="inlineStr">
        <is>
          <t>Reviews Completed</t>
        </is>
      </c>
      <c r="B33" s="22">
        <f>COUNTIFS(tbl_Reviews[ReviewDate],"&gt;="&amp;DATE(YEAR(TODAY()),1,1),tbl_Reviews[ReviewDate],"&lt;"&amp;DATE(YEAR(TODAY()),1+1,1))</f>
        <v/>
      </c>
      <c r="C33" s="22">
        <f>COUNTIFS(tbl_Reviews[ReviewDate],"&gt;="&amp;DATE(YEAR(TODAY()),2,1),tbl_Reviews[ReviewDate],"&lt;"&amp;DATE(YEAR(TODAY()),2+1,1))</f>
        <v/>
      </c>
      <c r="D33" s="22">
        <f>COUNTIFS(tbl_Reviews[ReviewDate],"&gt;="&amp;DATE(YEAR(TODAY()),3,1),tbl_Reviews[ReviewDate],"&lt;"&amp;DATE(YEAR(TODAY()),3+1,1))</f>
        <v/>
      </c>
      <c r="E33" s="22">
        <f>COUNTIFS(tbl_Reviews[ReviewDate],"&gt;="&amp;DATE(YEAR(TODAY()),4,1),tbl_Reviews[ReviewDate],"&lt;"&amp;DATE(YEAR(TODAY()),4+1,1))</f>
        <v/>
      </c>
      <c r="F33" s="22">
        <f>COUNTIFS(tbl_Reviews[ReviewDate],"&gt;="&amp;DATE(YEAR(TODAY()),5,1),tbl_Reviews[ReviewDate],"&lt;"&amp;DATE(YEAR(TODAY()),5+1,1))</f>
        <v/>
      </c>
      <c r="G33" s="22">
        <f>COUNTIFS(tbl_Reviews[ReviewDate],"&gt;="&amp;DATE(YEAR(TODAY()),6,1),tbl_Reviews[ReviewDate],"&lt;"&amp;DATE(YEAR(TODAY()),6+1,1))</f>
        <v/>
      </c>
      <c r="H33" s="22">
        <f>COUNTIFS(tbl_Reviews[ReviewDate],"&gt;="&amp;DATE(YEAR(TODAY()),7,1),tbl_Reviews[ReviewDate],"&lt;"&amp;DATE(YEAR(TODAY()),7+1,1))</f>
        <v/>
      </c>
      <c r="I33" s="22">
        <f>COUNTIFS(tbl_Reviews[ReviewDate],"&gt;="&amp;DATE(YEAR(TODAY()),8,1),tbl_Reviews[ReviewDate],"&lt;"&amp;DATE(YEAR(TODAY()),8+1,1))</f>
        <v/>
      </c>
      <c r="J33" s="22">
        <f>COUNTIFS(tbl_Reviews[ReviewDate],"&gt;="&amp;DATE(YEAR(TODAY()),9,1),tbl_Reviews[ReviewDate],"&lt;"&amp;DATE(YEAR(TODAY()),9+1,1))</f>
        <v/>
      </c>
      <c r="K33" s="22">
        <f>COUNTIFS(tbl_Reviews[ReviewDate],"&gt;="&amp;DATE(YEAR(TODAY()),10,1),tbl_Reviews[ReviewDate],"&lt;"&amp;DATE(YEAR(TODAY()),10+1,1))</f>
        <v/>
      </c>
      <c r="L33" s="22">
        <f>COUNTIFS(tbl_Reviews[ReviewDate],"&gt;="&amp;DATE(YEAR(TODAY()),11,1),tbl_Reviews[ReviewDate],"&lt;"&amp;DATE(YEAR(TODAY()),11+1,1))</f>
        <v/>
      </c>
      <c r="M33" s="22">
        <f>COUNTIFS(tbl_Reviews[ReviewDate],"&gt;="&amp;DATE(YEAR(TODAY()),12,1),tbl_Reviews[ReviewDate],"&lt;"&amp;DATE(YEAR(TODAY()),12+1,1))</f>
        <v/>
      </c>
    </row>
  </sheetData>
  <mergeCells count="10">
    <mergeCell ref="A2:L2"/>
    <mergeCell ref="A29:L29"/>
    <mergeCell ref="A25:L25"/>
    <mergeCell ref="A1:L1"/>
    <mergeCell ref="A5:L5"/>
    <mergeCell ref="A13:L13"/>
    <mergeCell ref="A17:L17"/>
    <mergeCell ref="A9:L9"/>
    <mergeCell ref="A3:L3"/>
    <mergeCell ref="A21:L21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tabColor rgb="00C00000"/>
    <outlinePr summaryBelow="1" summaryRight="1"/>
    <pageSetUpPr/>
  </sheetPr>
  <dimension ref="A1:M2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42" customHeight="1">
      <c r="A1" s="71" t="inlineStr">
        <is>
          <t>FNID AREA 3 — OPERATIONS DASHBOARD</t>
        </is>
      </c>
    </row>
    <row r="2">
      <c r="A2" s="52" t="inlineStr">
        <is>
          <t>Operational Activity, Seizures, Arrests, FCSI &amp; Warrant Tracking</t>
        </is>
      </c>
    </row>
    <row r="3">
      <c r="A3" s="67" t="inlineStr">
        <is>
          <t>Auto-generated from operational data tables | Refresh: re-open workbook</t>
        </is>
      </c>
    </row>
    <row r="5">
      <c r="A5" s="20" t="inlineStr">
        <is>
          <t>OPERATIONAL VOLUME</t>
        </is>
      </c>
    </row>
    <row r="6">
      <c r="A6" s="40" t="inlineStr">
        <is>
          <t>Total Ops</t>
        </is>
      </c>
      <c r="B6" s="40" t="inlineStr">
        <is>
          <t>FCSI Ops</t>
        </is>
      </c>
      <c r="C6" s="40" t="inlineStr">
        <is>
          <t>Non-FCSI</t>
        </is>
      </c>
      <c r="D6" s="40" t="inlineStr">
        <is>
          <t>Search Warrants</t>
        </is>
      </c>
      <c r="E6" s="40" t="inlineStr">
        <is>
          <t>Raids</t>
        </is>
      </c>
      <c r="F6" s="40" t="inlineStr">
        <is>
          <t>Checkpoints</t>
        </is>
      </c>
      <c r="G6" s="40" t="inlineStr">
        <is>
          <t>Surveillance</t>
        </is>
      </c>
      <c r="H6" s="40" t="inlineStr">
        <is>
          <t>Joint Ops</t>
        </is>
      </c>
    </row>
    <row r="7">
      <c r="A7" s="26">
        <f>COUNTA(tbl_Operations[OPS_ID])-COUNTBLANK(tbl_Operations[OPS_ID])</f>
        <v/>
      </c>
      <c r="B7" s="26">
        <f>COUNTIF(tbl_Operations[FCSI_Flag],"Yes")</f>
        <v/>
      </c>
      <c r="C7" s="26">
        <f>COUNTIF(tbl_Operations[FCSI_Flag],"No")</f>
        <v/>
      </c>
      <c r="D7" s="26">
        <f>COUNTIF(tbl_Operations[OpsType],"Search Warrant")</f>
        <v/>
      </c>
      <c r="E7" s="26">
        <f>COUNTIF(tbl_Operations[OpsType],"Raid")</f>
        <v/>
      </c>
      <c r="F7" s="26">
        <f>COUNTIF(tbl_Operations[OpsType],"Checkpoint")</f>
        <v/>
      </c>
      <c r="G7" s="26">
        <f>COUNTIF(tbl_Operations[OpsType],"Surveillance")</f>
        <v/>
      </c>
      <c r="H7" s="26">
        <f>COUNTIF(tbl_Operations[OpsType],"Joint Operation")</f>
        <v/>
      </c>
    </row>
    <row r="9">
      <c r="A9" s="20" t="inlineStr">
        <is>
          <t>SEIZURES &amp; ARRESTS (FROM OPS TABLE)</t>
        </is>
      </c>
    </row>
    <row r="10">
      <c r="A10" s="40" t="inlineStr">
        <is>
          <t>Total Arrests</t>
        </is>
      </c>
      <c r="B10" s="40" t="inlineStr">
        <is>
          <t>Firearms Seized</t>
        </is>
      </c>
      <c r="C10" s="40" t="inlineStr">
        <is>
          <t>Ammo Seized</t>
        </is>
      </c>
      <c r="D10" s="40" t="inlineStr">
        <is>
          <t>Narcotics (kg)</t>
        </is>
      </c>
      <c r="E10" s="40" t="inlineStr">
        <is>
          <t>Cash Seized</t>
        </is>
      </c>
      <c r="F10" s="40" t="inlineStr">
        <is>
          <t>Searches Done</t>
        </is>
      </c>
    </row>
    <row r="11">
      <c r="A11" s="26">
        <f>SUM(tbl_Operations[Arrests])</f>
        <v/>
      </c>
      <c r="B11" s="26">
        <f>SUM(tbl_Operations[FirearmsSeized])</f>
        <v/>
      </c>
      <c r="C11" s="26">
        <f>SUM(tbl_Operations[AmmunitionSeized])</f>
        <v/>
      </c>
      <c r="D11" s="26">
        <f>SUM(tbl_Operations[NarcoticsSeized_kg])</f>
        <v/>
      </c>
      <c r="E11" s="26">
        <f>SUM(tbl_Operations[CashSeized])</f>
        <v/>
      </c>
      <c r="F11" s="26">
        <f>SUM(tbl_Operations[Searches])</f>
        <v/>
      </c>
    </row>
    <row r="13">
      <c r="A13" s="20" t="inlineStr">
        <is>
          <t>DETAILED SEIZURES &amp; ARRESTS</t>
        </is>
      </c>
    </row>
    <row r="14">
      <c r="A14" s="40" t="inlineStr">
        <is>
          <t>Arrest Records</t>
        </is>
      </c>
      <c r="B14" s="40" t="inlineStr">
        <is>
          <t>Bail Granted</t>
        </is>
      </c>
      <c r="C14" s="40" t="inlineStr">
        <is>
          <t>Remanded</t>
        </is>
      </c>
      <c r="D14" s="40" t="inlineStr">
        <is>
          <t>Seized Items</t>
        </is>
      </c>
      <c r="E14" s="40" t="inlineStr">
        <is>
          <t>Firearms (Detail)</t>
        </is>
      </c>
      <c r="F14" s="40" t="inlineStr">
        <is>
          <t>Narcotics Items</t>
        </is>
      </c>
    </row>
    <row r="15">
      <c r="A15" s="26">
        <f>COUNTA(tbl_Arrests[ArrestID])-COUNTBLANK(tbl_Arrests[ArrestID])</f>
        <v/>
      </c>
      <c r="B15" s="26">
        <f>COUNTIF(tbl_Arrests[BailGranted],"Yes")</f>
        <v/>
      </c>
      <c r="C15" s="26">
        <f>COUNTIFS(tbl_Arrests[RemandFacility],"&lt;&gt;")</f>
        <v/>
      </c>
      <c r="D15" s="26">
        <f>COUNTA(tbl_Seizures[SeizureID])-COUNTBLANK(tbl_Seizures[SeizureID])</f>
        <v/>
      </c>
      <c r="E15" s="26">
        <f>COUNTIF(tbl_Seizures[ItemType],"Firearm")</f>
        <v/>
      </c>
      <c r="F15" s="26">
        <f>COUNTIFS(tbl_Seizures[ItemType],"Narcotics*")</f>
        <v/>
      </c>
    </row>
    <row r="17">
      <c r="A17" s="20" t="inlineStr">
        <is>
          <t>WARRANTS</t>
        </is>
      </c>
    </row>
    <row r="18">
      <c r="A18" s="40" t="inlineStr">
        <is>
          <t>Warrants Issued</t>
        </is>
      </c>
      <c r="B18" s="40" t="inlineStr">
        <is>
          <t>Executed</t>
        </is>
      </c>
      <c r="C18" s="40" t="inlineStr">
        <is>
          <t>Expired</t>
        </is>
      </c>
      <c r="D18" s="40" t="inlineStr">
        <is>
          <t>Active (Valid)</t>
        </is>
      </c>
      <c r="E18" s="40" t="inlineStr">
        <is>
          <t>Returned to JP</t>
        </is>
      </c>
      <c r="F18" s="40" t="inlineStr">
        <is>
          <t>Total Warrants</t>
        </is>
      </c>
    </row>
    <row r="19">
      <c r="A19" s="26">
        <f>COUNTIF(tbl_Warrants[Status],"Issued")</f>
        <v/>
      </c>
      <c r="B19" s="26">
        <f>COUNTIF(tbl_Warrants[Status],"Executed")</f>
        <v/>
      </c>
      <c r="C19" s="26">
        <f>COUNTIF(tbl_Warrants[Status],"Expired")</f>
        <v/>
      </c>
      <c r="D19" s="26">
        <f>COUNTIFS(tbl_Warrants[ValidUntil],"&gt;="&amp;TODAY(),tbl_Warrants[ExecutionDate],"")</f>
        <v/>
      </c>
      <c r="E19" s="26">
        <f>COUNTIFS(tbl_Warrants[ReturnToJP_Date],"&lt;&gt;")</f>
        <v/>
      </c>
      <c r="F19" s="26">
        <f>COUNTA(tbl_Warrants[WarrantID])-COUNTBLANK(tbl_Warrants[WarrantID])</f>
        <v/>
      </c>
    </row>
    <row r="21">
      <c r="A21" s="20" t="inlineStr">
        <is>
          <t>MONTHLY TREND (Current Year)</t>
        </is>
      </c>
    </row>
    <row r="22">
      <c r="A22" s="58" t="inlineStr">
        <is>
          <t>Metric</t>
        </is>
      </c>
      <c r="B22" s="21" t="inlineStr">
        <is>
          <t>Jan</t>
        </is>
      </c>
      <c r="C22" s="21" t="inlineStr">
        <is>
          <t>Feb</t>
        </is>
      </c>
      <c r="D22" s="21" t="inlineStr">
        <is>
          <t>Mar</t>
        </is>
      </c>
      <c r="E22" s="21" t="inlineStr">
        <is>
          <t>Apr</t>
        </is>
      </c>
      <c r="F22" s="21" t="inlineStr">
        <is>
          <t>May</t>
        </is>
      </c>
      <c r="G22" s="21" t="inlineStr">
        <is>
          <t>Jun</t>
        </is>
      </c>
      <c r="H22" s="21" t="inlineStr">
        <is>
          <t>Jul</t>
        </is>
      </c>
      <c r="I22" s="21" t="inlineStr">
        <is>
          <t>Aug</t>
        </is>
      </c>
      <c r="J22" s="21" t="inlineStr">
        <is>
          <t>Sep</t>
        </is>
      </c>
      <c r="K22" s="21" t="inlineStr">
        <is>
          <t>Oct</t>
        </is>
      </c>
      <c r="L22" s="21" t="inlineStr">
        <is>
          <t>Nov</t>
        </is>
      </c>
      <c r="M22" s="21" t="inlineStr">
        <is>
          <t>Dec</t>
        </is>
      </c>
    </row>
    <row r="23">
      <c r="A23" s="28" t="inlineStr">
        <is>
          <t>Operations</t>
        </is>
      </c>
      <c r="B23" s="22">
        <f>COUNTIFS(tbl_Operations[Month],1,tbl_Operations[Year],YEAR(TODAY()))</f>
        <v/>
      </c>
      <c r="C23" s="22">
        <f>COUNTIFS(tbl_Operations[Month],2,tbl_Operations[Year],YEAR(TODAY()))</f>
        <v/>
      </c>
      <c r="D23" s="22">
        <f>COUNTIFS(tbl_Operations[Month],3,tbl_Operations[Year],YEAR(TODAY()))</f>
        <v/>
      </c>
      <c r="E23" s="22">
        <f>COUNTIFS(tbl_Operations[Month],4,tbl_Operations[Year],YEAR(TODAY()))</f>
        <v/>
      </c>
      <c r="F23" s="22">
        <f>COUNTIFS(tbl_Operations[Month],5,tbl_Operations[Year],YEAR(TODAY()))</f>
        <v/>
      </c>
      <c r="G23" s="22">
        <f>COUNTIFS(tbl_Operations[Month],6,tbl_Operations[Year],YEAR(TODAY()))</f>
        <v/>
      </c>
      <c r="H23" s="22">
        <f>COUNTIFS(tbl_Operations[Month],7,tbl_Operations[Year],YEAR(TODAY()))</f>
        <v/>
      </c>
      <c r="I23" s="22">
        <f>COUNTIFS(tbl_Operations[Month],8,tbl_Operations[Year],YEAR(TODAY()))</f>
        <v/>
      </c>
      <c r="J23" s="22">
        <f>COUNTIFS(tbl_Operations[Month],9,tbl_Operations[Year],YEAR(TODAY()))</f>
        <v/>
      </c>
      <c r="K23" s="22">
        <f>COUNTIFS(tbl_Operations[Month],10,tbl_Operations[Year],YEAR(TODAY()))</f>
        <v/>
      </c>
      <c r="L23" s="22">
        <f>COUNTIFS(tbl_Operations[Month],11,tbl_Operations[Year],YEAR(TODAY()))</f>
        <v/>
      </c>
      <c r="M23" s="22">
        <f>COUNTIFS(tbl_Operations[Month],12,tbl_Operations[Year],YEAR(TODAY()))</f>
        <v/>
      </c>
    </row>
    <row r="24">
      <c r="A24" s="28" t="inlineStr">
        <is>
          <t>FCSI Ops</t>
        </is>
      </c>
      <c r="B24" s="22">
        <f>COUNTIFS(tbl_Operations[FCSI_Flag],"Yes",tbl_Operations[Month],1,tbl_Operations[Year],YEAR(TODAY()))</f>
        <v/>
      </c>
      <c r="C24" s="22">
        <f>COUNTIFS(tbl_Operations[FCSI_Flag],"Yes",tbl_Operations[Month],2,tbl_Operations[Year],YEAR(TODAY()))</f>
        <v/>
      </c>
      <c r="D24" s="22">
        <f>COUNTIFS(tbl_Operations[FCSI_Flag],"Yes",tbl_Operations[Month],3,tbl_Operations[Year],YEAR(TODAY()))</f>
        <v/>
      </c>
      <c r="E24" s="22">
        <f>COUNTIFS(tbl_Operations[FCSI_Flag],"Yes",tbl_Operations[Month],4,tbl_Operations[Year],YEAR(TODAY()))</f>
        <v/>
      </c>
      <c r="F24" s="22">
        <f>COUNTIFS(tbl_Operations[FCSI_Flag],"Yes",tbl_Operations[Month],5,tbl_Operations[Year],YEAR(TODAY()))</f>
        <v/>
      </c>
      <c r="G24" s="22">
        <f>COUNTIFS(tbl_Operations[FCSI_Flag],"Yes",tbl_Operations[Month],6,tbl_Operations[Year],YEAR(TODAY()))</f>
        <v/>
      </c>
      <c r="H24" s="22">
        <f>COUNTIFS(tbl_Operations[FCSI_Flag],"Yes",tbl_Operations[Month],7,tbl_Operations[Year],YEAR(TODAY()))</f>
        <v/>
      </c>
      <c r="I24" s="22">
        <f>COUNTIFS(tbl_Operations[FCSI_Flag],"Yes",tbl_Operations[Month],8,tbl_Operations[Year],YEAR(TODAY()))</f>
        <v/>
      </c>
      <c r="J24" s="22">
        <f>COUNTIFS(tbl_Operations[FCSI_Flag],"Yes",tbl_Operations[Month],9,tbl_Operations[Year],YEAR(TODAY()))</f>
        <v/>
      </c>
      <c r="K24" s="22">
        <f>COUNTIFS(tbl_Operations[FCSI_Flag],"Yes",tbl_Operations[Month],10,tbl_Operations[Year],YEAR(TODAY()))</f>
        <v/>
      </c>
      <c r="L24" s="22">
        <f>COUNTIFS(tbl_Operations[FCSI_Flag],"Yes",tbl_Operations[Month],11,tbl_Operations[Year],YEAR(TODAY()))</f>
        <v/>
      </c>
      <c r="M24" s="22">
        <f>COUNTIFS(tbl_Operations[FCSI_Flag],"Yes",tbl_Operations[Month],12,tbl_Operations[Year],YEAR(TODAY()))</f>
        <v/>
      </c>
    </row>
    <row r="25">
      <c r="A25" s="28" t="inlineStr">
        <is>
          <t>Firearms Seized</t>
        </is>
      </c>
      <c r="B25" s="22">
        <f>SUMIFS(tbl_Operations[FirearmsSeized],tbl_Operations[Month],1,tbl_Operations[Year],YEAR(TODAY()))</f>
        <v/>
      </c>
      <c r="C25" s="22">
        <f>SUMIFS(tbl_Operations[FirearmsSeized],tbl_Operations[Month],2,tbl_Operations[Year],YEAR(TODAY()))</f>
        <v/>
      </c>
      <c r="D25" s="22">
        <f>SUMIFS(tbl_Operations[FirearmsSeized],tbl_Operations[Month],3,tbl_Operations[Year],YEAR(TODAY()))</f>
        <v/>
      </c>
      <c r="E25" s="22">
        <f>SUMIFS(tbl_Operations[FirearmsSeized],tbl_Operations[Month],4,tbl_Operations[Year],YEAR(TODAY()))</f>
        <v/>
      </c>
      <c r="F25" s="22">
        <f>SUMIFS(tbl_Operations[FirearmsSeized],tbl_Operations[Month],5,tbl_Operations[Year],YEAR(TODAY()))</f>
        <v/>
      </c>
      <c r="G25" s="22">
        <f>SUMIFS(tbl_Operations[FirearmsSeized],tbl_Operations[Month],6,tbl_Operations[Year],YEAR(TODAY()))</f>
        <v/>
      </c>
      <c r="H25" s="22">
        <f>SUMIFS(tbl_Operations[FirearmsSeized],tbl_Operations[Month],7,tbl_Operations[Year],YEAR(TODAY()))</f>
        <v/>
      </c>
      <c r="I25" s="22">
        <f>SUMIFS(tbl_Operations[FirearmsSeized],tbl_Operations[Month],8,tbl_Operations[Year],YEAR(TODAY()))</f>
        <v/>
      </c>
      <c r="J25" s="22">
        <f>SUMIFS(tbl_Operations[FirearmsSeized],tbl_Operations[Month],9,tbl_Operations[Year],YEAR(TODAY()))</f>
        <v/>
      </c>
      <c r="K25" s="22">
        <f>SUMIFS(tbl_Operations[FirearmsSeized],tbl_Operations[Month],10,tbl_Operations[Year],YEAR(TODAY()))</f>
        <v/>
      </c>
      <c r="L25" s="22">
        <f>SUMIFS(tbl_Operations[FirearmsSeized],tbl_Operations[Month],11,tbl_Operations[Year],YEAR(TODAY()))</f>
        <v/>
      </c>
      <c r="M25" s="22">
        <f>SUMIFS(tbl_Operations[FirearmsSeized],tbl_Operations[Month],12,tbl_Operations[Year],YEAR(TODAY()))</f>
        <v/>
      </c>
    </row>
    <row r="26">
      <c r="A26" s="28" t="inlineStr">
        <is>
          <t>Arrests</t>
        </is>
      </c>
      <c r="B26" s="22">
        <f>SUMIFS(tbl_Operations[Arrests],tbl_Operations[Month],1,tbl_Operations[Year],YEAR(TODAY()))</f>
        <v/>
      </c>
      <c r="C26" s="22">
        <f>SUMIFS(tbl_Operations[Arrests],tbl_Operations[Month],2,tbl_Operations[Year],YEAR(TODAY()))</f>
        <v/>
      </c>
      <c r="D26" s="22">
        <f>SUMIFS(tbl_Operations[Arrests],tbl_Operations[Month],3,tbl_Operations[Year],YEAR(TODAY()))</f>
        <v/>
      </c>
      <c r="E26" s="22">
        <f>SUMIFS(tbl_Operations[Arrests],tbl_Operations[Month],4,tbl_Operations[Year],YEAR(TODAY()))</f>
        <v/>
      </c>
      <c r="F26" s="22">
        <f>SUMIFS(tbl_Operations[Arrests],tbl_Operations[Month],5,tbl_Operations[Year],YEAR(TODAY()))</f>
        <v/>
      </c>
      <c r="G26" s="22">
        <f>SUMIFS(tbl_Operations[Arrests],tbl_Operations[Month],6,tbl_Operations[Year],YEAR(TODAY()))</f>
        <v/>
      </c>
      <c r="H26" s="22">
        <f>SUMIFS(tbl_Operations[Arrests],tbl_Operations[Month],7,tbl_Operations[Year],YEAR(TODAY()))</f>
        <v/>
      </c>
      <c r="I26" s="22">
        <f>SUMIFS(tbl_Operations[Arrests],tbl_Operations[Month],8,tbl_Operations[Year],YEAR(TODAY()))</f>
        <v/>
      </c>
      <c r="J26" s="22">
        <f>SUMIFS(tbl_Operations[Arrests],tbl_Operations[Month],9,tbl_Operations[Year],YEAR(TODAY()))</f>
        <v/>
      </c>
      <c r="K26" s="22">
        <f>SUMIFS(tbl_Operations[Arrests],tbl_Operations[Month],10,tbl_Operations[Year],YEAR(TODAY()))</f>
        <v/>
      </c>
      <c r="L26" s="22">
        <f>SUMIFS(tbl_Operations[Arrests],tbl_Operations[Month],11,tbl_Operations[Year],YEAR(TODAY()))</f>
        <v/>
      </c>
      <c r="M26" s="22">
        <f>SUMIFS(tbl_Operations[Arrests],tbl_Operations[Month],12,tbl_Operations[Year],YEAR(TODAY()))</f>
        <v/>
      </c>
    </row>
    <row r="27">
      <c r="A27" s="28" t="inlineStr">
        <is>
          <t>Narcotics (kg)</t>
        </is>
      </c>
      <c r="B27" s="22">
        <f>SUMIFS(tbl_Operations[NarcoticsSeized_kg],tbl_Operations[Month],1,tbl_Operations[Year],YEAR(TODAY()))</f>
        <v/>
      </c>
      <c r="C27" s="22">
        <f>SUMIFS(tbl_Operations[NarcoticsSeized_kg],tbl_Operations[Month],2,tbl_Operations[Year],YEAR(TODAY()))</f>
        <v/>
      </c>
      <c r="D27" s="22">
        <f>SUMIFS(tbl_Operations[NarcoticsSeized_kg],tbl_Operations[Month],3,tbl_Operations[Year],YEAR(TODAY()))</f>
        <v/>
      </c>
      <c r="E27" s="22">
        <f>SUMIFS(tbl_Operations[NarcoticsSeized_kg],tbl_Operations[Month],4,tbl_Operations[Year],YEAR(TODAY()))</f>
        <v/>
      </c>
      <c r="F27" s="22">
        <f>SUMIFS(tbl_Operations[NarcoticsSeized_kg],tbl_Operations[Month],5,tbl_Operations[Year],YEAR(TODAY()))</f>
        <v/>
      </c>
      <c r="G27" s="22">
        <f>SUMIFS(tbl_Operations[NarcoticsSeized_kg],tbl_Operations[Month],6,tbl_Operations[Year],YEAR(TODAY()))</f>
        <v/>
      </c>
      <c r="H27" s="22">
        <f>SUMIFS(tbl_Operations[NarcoticsSeized_kg],tbl_Operations[Month],7,tbl_Operations[Year],YEAR(TODAY()))</f>
        <v/>
      </c>
      <c r="I27" s="22">
        <f>SUMIFS(tbl_Operations[NarcoticsSeized_kg],tbl_Operations[Month],8,tbl_Operations[Year],YEAR(TODAY()))</f>
        <v/>
      </c>
      <c r="J27" s="22">
        <f>SUMIFS(tbl_Operations[NarcoticsSeized_kg],tbl_Operations[Month],9,tbl_Operations[Year],YEAR(TODAY()))</f>
        <v/>
      </c>
      <c r="K27" s="22">
        <f>SUMIFS(tbl_Operations[NarcoticsSeized_kg],tbl_Operations[Month],10,tbl_Operations[Year],YEAR(TODAY()))</f>
        <v/>
      </c>
      <c r="L27" s="22">
        <f>SUMIFS(tbl_Operations[NarcoticsSeized_kg],tbl_Operations[Month],11,tbl_Operations[Year],YEAR(TODAY()))</f>
        <v/>
      </c>
      <c r="M27" s="22">
        <f>SUMIFS(tbl_Operations[NarcoticsSeized_kg],tbl_Operations[Month],12,tbl_Operations[Year],YEAR(TODAY()))</f>
        <v/>
      </c>
    </row>
  </sheetData>
  <mergeCells count="8">
    <mergeCell ref="A2:L2"/>
    <mergeCell ref="A1:L1"/>
    <mergeCell ref="A5:L5"/>
    <mergeCell ref="A13:L13"/>
    <mergeCell ref="A17:L17"/>
    <mergeCell ref="A9:L9"/>
    <mergeCell ref="A3:L3"/>
    <mergeCell ref="A21:L21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tabColor rgb="00BF8F00"/>
    <outlinePr summaryBelow="1" summaryRight="1"/>
    <pageSetUpPr/>
  </sheetPr>
  <dimension ref="A1:M2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42" customHeight="1">
      <c r="A1" s="72" t="inlineStr">
        <is>
          <t>FNID AREA 3 — INTELLIGENCE DASHBOARD</t>
        </is>
      </c>
    </row>
    <row r="2">
      <c r="A2" s="52" t="inlineStr">
        <is>
          <t>Lead Management, Triage, Informant Metrics &amp; Briefings</t>
        </is>
      </c>
    </row>
    <row r="3">
      <c r="A3" s="67" t="inlineStr">
        <is>
          <t>Auto-generated from operational data tables | Refresh: re-open workbook</t>
        </is>
      </c>
    </row>
    <row r="5">
      <c r="A5" s="20" t="inlineStr">
        <is>
          <t>LEAD VOLUME &amp; TRIAGE</t>
        </is>
      </c>
    </row>
    <row r="6">
      <c r="A6" s="34" t="inlineStr">
        <is>
          <t>Total Leads</t>
        </is>
      </c>
      <c r="B6" s="34" t="inlineStr">
        <is>
          <t>From MCR</t>
        </is>
      </c>
      <c r="C6" s="34" t="inlineStr">
        <is>
          <t>From Ops</t>
        </is>
      </c>
      <c r="D6" s="34" t="inlineStr">
        <is>
          <t>From Tips</t>
        </is>
      </c>
      <c r="E6" s="34" t="inlineStr">
        <is>
          <t>From Informants</t>
        </is>
      </c>
      <c r="F6" s="34" t="inlineStr">
        <is>
          <t>Pending Triage</t>
        </is>
      </c>
      <c r="G6" s="34" t="inlineStr">
        <is>
          <t>High/Critical</t>
        </is>
      </c>
      <c r="H6" s="34" t="inlineStr">
        <is>
          <t>Overdue Follow-Up</t>
        </is>
      </c>
    </row>
    <row r="7">
      <c r="A7" s="26">
        <f>COUNTA(tbl_Leads[LeadID])-COUNTBLANK(tbl_Leads[LeadID])</f>
        <v/>
      </c>
      <c r="B7" s="26">
        <f>COUNTIF(tbl_Leads[Source],"MCR")</f>
        <v/>
      </c>
      <c r="C7" s="26">
        <f>COUNTIF(tbl_Leads[Source],"Operations")</f>
        <v/>
      </c>
      <c r="D7" s="26">
        <f>COUNTIF(tbl_Leads[Source],"Tip-off")</f>
        <v/>
      </c>
      <c r="E7" s="26">
        <f>COUNTIF(tbl_Leads[Source],"Informant")</f>
        <v/>
      </c>
      <c r="F7" s="26">
        <f>COUNTBLANK(tbl_Leads[TriageDecision])</f>
        <v/>
      </c>
      <c r="G7" s="26">
        <f>COUNTIFS(tbl_Leads[Priority],"High")+COUNTIFS(tbl_Leads[Priority],"Critical")</f>
        <v/>
      </c>
      <c r="H7" s="26">
        <f>COUNTIFS(tbl_Leads[FollowUpDueDate],"&lt;"&amp;TODAY(),tbl_Leads[FollowUpRequired],"Yes")</f>
        <v/>
      </c>
    </row>
    <row r="9">
      <c r="A9" s="20" t="inlineStr">
        <is>
          <t>LEAD OUTCOMES</t>
        </is>
      </c>
    </row>
    <row r="10">
      <c r="A10" s="34" t="inlineStr">
        <is>
          <t>Converted to Case</t>
        </is>
      </c>
      <c r="B10" s="34" t="inlineStr">
        <is>
          <t>Converted to Op</t>
        </is>
      </c>
      <c r="C10" s="34" t="inlineStr">
        <is>
          <t>Intel Filed</t>
        </is>
      </c>
      <c r="D10" s="34" t="inlineStr">
        <is>
          <t>Closed - No Action</t>
        </is>
      </c>
      <c r="E10" s="34" t="inlineStr">
        <is>
          <t>Pending</t>
        </is>
      </c>
      <c r="F10" s="34" t="inlineStr">
        <is>
          <t>Conversion Rate</t>
        </is>
      </c>
    </row>
    <row r="11">
      <c r="A11" s="26">
        <f>COUNTIF(tbl_Leads[Outcome],"Converted to Case")</f>
        <v/>
      </c>
      <c r="B11" s="26">
        <f>COUNTIF(tbl_Leads[Outcome],"Converted to Op")</f>
        <v/>
      </c>
      <c r="C11" s="26">
        <f>COUNTIF(tbl_Leads[Outcome],"Intel Filed")</f>
        <v/>
      </c>
      <c r="D11" s="26">
        <f>COUNTIF(tbl_Leads[Outcome],"Closed - No Action")</f>
        <v/>
      </c>
      <c r="E11" s="26">
        <f>COUNTIF(tbl_Leads[Outcome],"Pending")</f>
        <v/>
      </c>
      <c r="F11" s="26">
        <f>IFERROR((COUNTIF(tbl_Leads[Outcome],"Converted to Case")+COUNTIF(tbl_Leads[Outcome],"Converted to Op"))/(COUNTA(tbl_Leads[LeadID])-COUNTBLANK(tbl_Leads[LeadID])),"—")</f>
        <v/>
      </c>
    </row>
    <row r="13">
      <c r="A13" s="20" t="inlineStr">
        <is>
          <t>INFORMANT MANAGEMENT</t>
        </is>
      </c>
    </row>
    <row r="14">
      <c r="A14" s="34" t="inlineStr">
        <is>
          <t>Registered</t>
        </is>
      </c>
      <c r="B14" s="34" t="inlineStr">
        <is>
          <t>Active</t>
        </is>
      </c>
      <c r="C14" s="34" t="inlineStr">
        <is>
          <t>Total Tips</t>
        </is>
      </c>
      <c r="D14" s="34" t="inlineStr">
        <is>
          <t>Tips to Cases</t>
        </is>
      </c>
      <c r="E14" s="34" t="inlineStr">
        <is>
          <t>Tips to Ops</t>
        </is>
      </c>
      <c r="F14" s="34" t="inlineStr">
        <is>
          <t>Contact Overdue</t>
        </is>
      </c>
    </row>
    <row r="15">
      <c r="A15" s="26">
        <f>COUNTA(tbl_Informants[InformantID])-COUNTBLANK(tbl_Informants[InformantID])</f>
        <v/>
      </c>
      <c r="B15" s="26">
        <f>COUNTIF(tbl_Informants[Status],"Active")</f>
        <v/>
      </c>
      <c r="C15" s="26">
        <f>SUM(tbl_Informants[TotalTipsProvided])</f>
        <v/>
      </c>
      <c r="D15" s="26">
        <f>SUM(tbl_Informants[TipsConvertedToCase])</f>
        <v/>
      </c>
      <c r="E15" s="26">
        <f>SUM(tbl_Informants[TipsConvertedToOp])</f>
        <v/>
      </c>
      <c r="F15" s="26">
        <f>COUNTIFS(tbl_Informants[NextContactDue],"&lt;"&amp;TODAY())</f>
        <v/>
      </c>
    </row>
    <row r="17">
      <c r="A17" s="20" t="inlineStr">
        <is>
          <t>INTELLIGENCE BRIEFINGS &amp; MCR</t>
        </is>
      </c>
    </row>
    <row r="18">
      <c r="A18" s="34" t="inlineStr">
        <is>
          <t>Briefings Given</t>
        </is>
      </c>
      <c r="B18" s="34" t="inlineStr">
        <is>
          <t>MCR Reports</t>
        </is>
      </c>
      <c r="C18" s="34" t="inlineStr">
        <is>
          <t>MCR FNID-Relevant</t>
        </is>
      </c>
      <c r="D18" s="34" t="inlineStr">
        <is>
          <t>MCR Auto-Routed</t>
        </is>
      </c>
      <c r="E18" s="34" t="inlineStr">
        <is>
          <t>Follow-Up Recs</t>
        </is>
      </c>
      <c r="F18" s="34" t="inlineStr">
        <is>
          <t>Avg Risk Score</t>
        </is>
      </c>
    </row>
    <row r="19">
      <c r="A19" s="26">
        <f>COUNTA(tbl_IntelBriefings[BriefingID])-COUNTBLANK(tbl_IntelBriefings[BriefingID])</f>
        <v/>
      </c>
      <c r="B19" s="26">
        <f>COUNTA(tbl_MCR_Raw[MCR_ID])-COUNTBLANK(tbl_MCR_Raw[MCR_ID])</f>
        <v/>
      </c>
      <c r="C19" s="26">
        <f>COUNTIF(tbl_MCR_Raw[FNID_Relevant],"Yes")</f>
        <v/>
      </c>
      <c r="D19" s="26">
        <f>COUNTIF(tbl_MCR_Raw[AutoRouted],"Yes")</f>
        <v/>
      </c>
      <c r="E19" s="26">
        <f>COUNTA(tbl_FollowUpRecs[RecID])-COUNTBLANK(tbl_FollowUpRecs[RecID])</f>
        <v/>
      </c>
      <c r="F19" s="26">
        <f>IFERROR(AVERAGE(tbl_Leads[RiskScore]),"—")</f>
        <v/>
      </c>
    </row>
    <row r="21">
      <c r="A21" s="20" t="inlineStr">
        <is>
          <t>MONTHLY TREND (Current Year)</t>
        </is>
      </c>
    </row>
    <row r="22">
      <c r="A22" s="58" t="inlineStr">
        <is>
          <t>Metric</t>
        </is>
      </c>
      <c r="B22" s="21" t="inlineStr">
        <is>
          <t>Jan</t>
        </is>
      </c>
      <c r="C22" s="21" t="inlineStr">
        <is>
          <t>Feb</t>
        </is>
      </c>
      <c r="D22" s="21" t="inlineStr">
        <is>
          <t>Mar</t>
        </is>
      </c>
      <c r="E22" s="21" t="inlineStr">
        <is>
          <t>Apr</t>
        </is>
      </c>
      <c r="F22" s="21" t="inlineStr">
        <is>
          <t>May</t>
        </is>
      </c>
      <c r="G22" s="21" t="inlineStr">
        <is>
          <t>Jun</t>
        </is>
      </c>
      <c r="H22" s="21" t="inlineStr">
        <is>
          <t>Jul</t>
        </is>
      </c>
      <c r="I22" s="21" t="inlineStr">
        <is>
          <t>Aug</t>
        </is>
      </c>
      <c r="J22" s="21" t="inlineStr">
        <is>
          <t>Sep</t>
        </is>
      </c>
      <c r="K22" s="21" t="inlineStr">
        <is>
          <t>Oct</t>
        </is>
      </c>
      <c r="L22" s="21" t="inlineStr">
        <is>
          <t>Nov</t>
        </is>
      </c>
      <c r="M22" s="21" t="inlineStr">
        <is>
          <t>Dec</t>
        </is>
      </c>
    </row>
    <row r="23">
      <c r="A23" s="28" t="inlineStr">
        <is>
          <t>Leads Received</t>
        </is>
      </c>
      <c r="B23" s="22">
        <f>COUNTIFS(tbl_Leads[Month],1,tbl_Leads[Year],YEAR(TODAY()))</f>
        <v/>
      </c>
      <c r="C23" s="22">
        <f>COUNTIFS(tbl_Leads[Month],2,tbl_Leads[Year],YEAR(TODAY()))</f>
        <v/>
      </c>
      <c r="D23" s="22">
        <f>COUNTIFS(tbl_Leads[Month],3,tbl_Leads[Year],YEAR(TODAY()))</f>
        <v/>
      </c>
      <c r="E23" s="22">
        <f>COUNTIFS(tbl_Leads[Month],4,tbl_Leads[Year],YEAR(TODAY()))</f>
        <v/>
      </c>
      <c r="F23" s="22">
        <f>COUNTIFS(tbl_Leads[Month],5,tbl_Leads[Year],YEAR(TODAY()))</f>
        <v/>
      </c>
      <c r="G23" s="22">
        <f>COUNTIFS(tbl_Leads[Month],6,tbl_Leads[Year],YEAR(TODAY()))</f>
        <v/>
      </c>
      <c r="H23" s="22">
        <f>COUNTIFS(tbl_Leads[Month],7,tbl_Leads[Year],YEAR(TODAY()))</f>
        <v/>
      </c>
      <c r="I23" s="22">
        <f>COUNTIFS(tbl_Leads[Month],8,tbl_Leads[Year],YEAR(TODAY()))</f>
        <v/>
      </c>
      <c r="J23" s="22">
        <f>COUNTIFS(tbl_Leads[Month],9,tbl_Leads[Year],YEAR(TODAY()))</f>
        <v/>
      </c>
      <c r="K23" s="22">
        <f>COUNTIFS(tbl_Leads[Month],10,tbl_Leads[Year],YEAR(TODAY()))</f>
        <v/>
      </c>
      <c r="L23" s="22">
        <f>COUNTIFS(tbl_Leads[Month],11,tbl_Leads[Year],YEAR(TODAY()))</f>
        <v/>
      </c>
      <c r="M23" s="22">
        <f>COUNTIFS(tbl_Leads[Month],12,tbl_Leads[Year],YEAR(TODAY()))</f>
        <v/>
      </c>
    </row>
    <row r="24">
      <c r="A24" s="28" t="inlineStr">
        <is>
          <t>Leads Converted</t>
        </is>
      </c>
      <c r="B24" s="22">
        <f>COUNTIFS(tbl_Leads[Outcome],"Converted*",tbl_Leads[Month],1,tbl_Leads[Year],YEAR(TODAY()))</f>
        <v/>
      </c>
      <c r="C24" s="22">
        <f>COUNTIFS(tbl_Leads[Outcome],"Converted*",tbl_Leads[Month],2,tbl_Leads[Year],YEAR(TODAY()))</f>
        <v/>
      </c>
      <c r="D24" s="22">
        <f>COUNTIFS(tbl_Leads[Outcome],"Converted*",tbl_Leads[Month],3,tbl_Leads[Year],YEAR(TODAY()))</f>
        <v/>
      </c>
      <c r="E24" s="22">
        <f>COUNTIFS(tbl_Leads[Outcome],"Converted*",tbl_Leads[Month],4,tbl_Leads[Year],YEAR(TODAY()))</f>
        <v/>
      </c>
      <c r="F24" s="22">
        <f>COUNTIFS(tbl_Leads[Outcome],"Converted*",tbl_Leads[Month],5,tbl_Leads[Year],YEAR(TODAY()))</f>
        <v/>
      </c>
      <c r="G24" s="22">
        <f>COUNTIFS(tbl_Leads[Outcome],"Converted*",tbl_Leads[Month],6,tbl_Leads[Year],YEAR(TODAY()))</f>
        <v/>
      </c>
      <c r="H24" s="22">
        <f>COUNTIFS(tbl_Leads[Outcome],"Converted*",tbl_Leads[Month],7,tbl_Leads[Year],YEAR(TODAY()))</f>
        <v/>
      </c>
      <c r="I24" s="22">
        <f>COUNTIFS(tbl_Leads[Outcome],"Converted*",tbl_Leads[Month],8,tbl_Leads[Year],YEAR(TODAY()))</f>
        <v/>
      </c>
      <c r="J24" s="22">
        <f>COUNTIFS(tbl_Leads[Outcome],"Converted*",tbl_Leads[Month],9,tbl_Leads[Year],YEAR(TODAY()))</f>
        <v/>
      </c>
      <c r="K24" s="22">
        <f>COUNTIFS(tbl_Leads[Outcome],"Converted*",tbl_Leads[Month],10,tbl_Leads[Year],YEAR(TODAY()))</f>
        <v/>
      </c>
      <c r="L24" s="22">
        <f>COUNTIFS(tbl_Leads[Outcome],"Converted*",tbl_Leads[Month],11,tbl_Leads[Year],YEAR(TODAY()))</f>
        <v/>
      </c>
      <c r="M24" s="22">
        <f>COUNTIFS(tbl_Leads[Outcome],"Converted*",tbl_Leads[Month],12,tbl_Leads[Year],YEAR(TODAY()))</f>
        <v/>
      </c>
    </row>
  </sheetData>
  <mergeCells count="8">
    <mergeCell ref="A2:L2"/>
    <mergeCell ref="A1:L1"/>
    <mergeCell ref="A5:L5"/>
    <mergeCell ref="A13:L13"/>
    <mergeCell ref="A17:L17"/>
    <mergeCell ref="A9:L9"/>
    <mergeCell ref="A3:L3"/>
    <mergeCell ref="A21:L21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tabColor rgb="002E75B6"/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42" customHeight="1">
      <c r="A1" s="73" t="inlineStr">
        <is>
          <t>FNID AREA 3 — TRANSPORT DASHBOARD</t>
        </is>
      </c>
    </row>
    <row r="2">
      <c r="A2" s="52" t="inlineStr">
        <is>
          <t>Fleet Status, Usage, Fuel, Maintenance &amp; Driver Management</t>
        </is>
      </c>
    </row>
    <row r="3">
      <c r="A3" s="67" t="inlineStr">
        <is>
          <t>Auto-generated from operational data tables | Refresh: re-open workbook</t>
        </is>
      </c>
    </row>
    <row r="5">
      <c r="A5" s="20" t="inlineStr">
        <is>
          <t>FLEET STATUS</t>
        </is>
      </c>
    </row>
    <row r="6">
      <c r="A6" s="32" t="inlineStr">
        <is>
          <t>Total Vehicles</t>
        </is>
      </c>
      <c r="B6" s="32" t="inlineStr">
        <is>
          <t>Available</t>
        </is>
      </c>
      <c r="C6" s="32" t="inlineStr">
        <is>
          <t>In Use</t>
        </is>
      </c>
      <c r="D6" s="32" t="inlineStr">
        <is>
          <t>Maintenance</t>
        </is>
      </c>
      <c r="E6" s="32" t="inlineStr">
        <is>
          <t>Out of Service</t>
        </is>
      </c>
      <c r="F6" s="32" t="inlineStr">
        <is>
          <t>Reserved</t>
        </is>
      </c>
      <c r="G6" s="32" t="inlineStr">
        <is>
          <t>Service Overdue</t>
        </is>
      </c>
      <c r="H6" s="32" t="inlineStr">
        <is>
          <t>Availability %</t>
        </is>
      </c>
    </row>
    <row r="7">
      <c r="A7" s="26">
        <f>COUNTA(tbl_Vehicles[VehicleID])-COUNTBLANK(tbl_Vehicles[VehicleID])</f>
        <v/>
      </c>
      <c r="B7" s="26">
        <f>COUNTIF(tbl_Vehicles[CurrentStatus],"Available")</f>
        <v/>
      </c>
      <c r="C7" s="26">
        <f>COUNTIF(tbl_Vehicles[CurrentStatus],"In Use")</f>
        <v/>
      </c>
      <c r="D7" s="26">
        <f>COUNTIF(tbl_Vehicles[CurrentStatus],"Under Maintenance")</f>
        <v/>
      </c>
      <c r="E7" s="26">
        <f>COUNTIF(tbl_Vehicles[CurrentStatus],"Out of Service")</f>
        <v/>
      </c>
      <c r="F7" s="26">
        <f>COUNTIF(tbl_Vehicles[CurrentStatus],"Reserved")</f>
        <v/>
      </c>
      <c r="G7" s="26">
        <f>COUNTIFS(tbl_Vehicles[NextServiceDue],"&lt;"&amp;TODAY())</f>
        <v/>
      </c>
      <c r="H7" s="26">
        <f>IFERROR(COUNTIF(tbl_Vehicles[CurrentStatus],"Available")/(COUNTA(tbl_Vehicles[VehicleID])-COUNTBLANK(tbl_Vehicles[VehicleID])),"—")</f>
        <v/>
      </c>
    </row>
    <row r="9">
      <c r="A9" s="20" t="inlineStr">
        <is>
          <t>USAGE &amp; FUEL</t>
        </is>
      </c>
    </row>
    <row r="10">
      <c r="A10" s="32" t="inlineStr">
        <is>
          <t>Total Trips</t>
        </is>
      </c>
      <c r="B10" s="32" t="inlineStr">
        <is>
          <t>Total Distance (km)</t>
        </is>
      </c>
      <c r="C10" s="32" t="inlineStr">
        <is>
          <t>Avg Distance/Trip</t>
        </is>
      </c>
      <c r="D10" s="32" t="inlineStr">
        <is>
          <t>Total Fuel (L)</t>
        </is>
      </c>
      <c r="E10" s="32" t="inlineStr">
        <is>
          <t>Total Fuel Cost</t>
        </is>
      </c>
      <c r="F10" s="32" t="inlineStr">
        <is>
          <t>Avg L/Fill</t>
        </is>
      </c>
    </row>
    <row r="11">
      <c r="A11" s="26">
        <f>COUNTA(tbl_VehicleUsage[UsageID])-COUNTBLANK(tbl_VehicleUsage[UsageID])</f>
        <v/>
      </c>
      <c r="B11" s="26">
        <f>SUM(tbl_VehicleUsage[DistanceKm])</f>
        <v/>
      </c>
      <c r="C11" s="26">
        <f>IFERROR(AVERAGE(tbl_VehicleUsage[DistanceKm]),"—")</f>
        <v/>
      </c>
      <c r="D11" s="26">
        <f>SUM(tbl_FuelLog[Litres])</f>
        <v/>
      </c>
      <c r="E11" s="26">
        <f>SUM(tbl_FuelLog[Cost])</f>
        <v/>
      </c>
      <c r="F11" s="26">
        <f>IFERROR(AVERAGE(tbl_FuelLog[Litres]),"—")</f>
        <v/>
      </c>
    </row>
    <row r="13">
      <c r="A13" s="20" t="inlineStr">
        <is>
          <t>MAINTENANCE &amp; DRIVERS</t>
        </is>
      </c>
    </row>
    <row r="14">
      <c r="A14" s="32" t="inlineStr">
        <is>
          <t>Maint Records</t>
        </is>
      </c>
      <c r="B14" s="32" t="inlineStr">
        <is>
          <t>Total Maint Cost</t>
        </is>
      </c>
      <c r="C14" s="32" t="inlineStr">
        <is>
          <t>Avg Downtime (d)</t>
        </is>
      </c>
      <c r="D14" s="32" t="inlineStr">
        <is>
          <t>Active Drivers</t>
        </is>
      </c>
      <c r="E14" s="32" t="inlineStr">
        <is>
          <t>License Expired</t>
        </is>
      </c>
      <c r="F14" s="32" t="inlineStr">
        <is>
          <t>Insurance Expired</t>
        </is>
      </c>
    </row>
    <row r="15">
      <c r="A15" s="26">
        <f>COUNTA(tbl_Maintenance[MaintID])-COUNTBLANK(tbl_Maintenance[MaintID])</f>
        <v/>
      </c>
      <c r="B15" s="26">
        <f>SUM(tbl_Maintenance[Cost])</f>
        <v/>
      </c>
      <c r="C15" s="26">
        <f>IFERROR(AVERAGE(tbl_Maintenance[DowntimeDays]),"—")</f>
        <v/>
      </c>
      <c r="D15" s="26">
        <f>COUNTIF(tbl_Drivers[Status],"Active")</f>
        <v/>
      </c>
      <c r="E15" s="26">
        <f>COUNTIFS(tbl_Drivers[LicenseExpiry],"&lt;"&amp;TODAY())</f>
        <v/>
      </c>
      <c r="F15" s="26">
        <f>COUNTIFS(tbl_Vehicles[InsuranceExpiry],"&lt;"&amp;TODAY())</f>
        <v/>
      </c>
    </row>
    <row r="17">
      <c r="A17" s="20" t="inlineStr">
        <is>
          <t>MONTHLY TREND (Current Year)</t>
        </is>
      </c>
    </row>
    <row r="18">
      <c r="A18" s="58" t="inlineStr">
        <is>
          <t>Metric</t>
        </is>
      </c>
      <c r="B18" s="21" t="inlineStr">
        <is>
          <t>Jan</t>
        </is>
      </c>
      <c r="C18" s="21" t="inlineStr">
        <is>
          <t>Feb</t>
        </is>
      </c>
      <c r="D18" s="21" t="inlineStr">
        <is>
          <t>Mar</t>
        </is>
      </c>
      <c r="E18" s="21" t="inlineStr">
        <is>
          <t>Apr</t>
        </is>
      </c>
      <c r="F18" s="21" t="inlineStr">
        <is>
          <t>May</t>
        </is>
      </c>
      <c r="G18" s="21" t="inlineStr">
        <is>
          <t>Jun</t>
        </is>
      </c>
      <c r="H18" s="21" t="inlineStr">
        <is>
          <t>Jul</t>
        </is>
      </c>
      <c r="I18" s="21" t="inlineStr">
        <is>
          <t>Aug</t>
        </is>
      </c>
      <c r="J18" s="21" t="inlineStr">
        <is>
          <t>Sep</t>
        </is>
      </c>
      <c r="K18" s="21" t="inlineStr">
        <is>
          <t>Oct</t>
        </is>
      </c>
      <c r="L18" s="21" t="inlineStr">
        <is>
          <t>Nov</t>
        </is>
      </c>
      <c r="M18" s="21" t="inlineStr">
        <is>
          <t>Dec</t>
        </is>
      </c>
    </row>
    <row r="19">
      <c r="A19" s="28" t="inlineStr">
        <is>
          <t>Trips</t>
        </is>
      </c>
      <c r="B19" s="22">
        <f>COUNTIFS(tbl_VehicleUsage[Month],1,tbl_VehicleUsage[Year],YEAR(TODAY()))</f>
        <v/>
      </c>
      <c r="C19" s="22">
        <f>COUNTIFS(tbl_VehicleUsage[Month],2,tbl_VehicleUsage[Year],YEAR(TODAY()))</f>
        <v/>
      </c>
      <c r="D19" s="22">
        <f>COUNTIFS(tbl_VehicleUsage[Month],3,tbl_VehicleUsage[Year],YEAR(TODAY()))</f>
        <v/>
      </c>
      <c r="E19" s="22">
        <f>COUNTIFS(tbl_VehicleUsage[Month],4,tbl_VehicleUsage[Year],YEAR(TODAY()))</f>
        <v/>
      </c>
      <c r="F19" s="22">
        <f>COUNTIFS(tbl_VehicleUsage[Month],5,tbl_VehicleUsage[Year],YEAR(TODAY()))</f>
        <v/>
      </c>
      <c r="G19" s="22">
        <f>COUNTIFS(tbl_VehicleUsage[Month],6,tbl_VehicleUsage[Year],YEAR(TODAY()))</f>
        <v/>
      </c>
      <c r="H19" s="22">
        <f>COUNTIFS(tbl_VehicleUsage[Month],7,tbl_VehicleUsage[Year],YEAR(TODAY()))</f>
        <v/>
      </c>
      <c r="I19" s="22">
        <f>COUNTIFS(tbl_VehicleUsage[Month],8,tbl_VehicleUsage[Year],YEAR(TODAY()))</f>
        <v/>
      </c>
      <c r="J19" s="22">
        <f>COUNTIFS(tbl_VehicleUsage[Month],9,tbl_VehicleUsage[Year],YEAR(TODAY()))</f>
        <v/>
      </c>
      <c r="K19" s="22">
        <f>COUNTIFS(tbl_VehicleUsage[Month],10,tbl_VehicleUsage[Year],YEAR(TODAY()))</f>
        <v/>
      </c>
      <c r="L19" s="22">
        <f>COUNTIFS(tbl_VehicleUsage[Month],11,tbl_VehicleUsage[Year],YEAR(TODAY()))</f>
        <v/>
      </c>
      <c r="M19" s="22">
        <f>COUNTIFS(tbl_VehicleUsage[Month],12,tbl_VehicleUsage[Year],YEAR(TODAY()))</f>
        <v/>
      </c>
    </row>
    <row r="20">
      <c r="A20" s="28" t="inlineStr">
        <is>
          <t>Fuel (L)</t>
        </is>
      </c>
      <c r="B20" s="22">
        <f>SUMIFS(tbl_FuelLog[Litres],tbl_FuelLog[Month],1,tbl_FuelLog[Year],YEAR(TODAY()))</f>
        <v/>
      </c>
      <c r="C20" s="22">
        <f>SUMIFS(tbl_FuelLog[Litres],tbl_FuelLog[Month],2,tbl_FuelLog[Year],YEAR(TODAY()))</f>
        <v/>
      </c>
      <c r="D20" s="22">
        <f>SUMIFS(tbl_FuelLog[Litres],tbl_FuelLog[Month],3,tbl_FuelLog[Year],YEAR(TODAY()))</f>
        <v/>
      </c>
      <c r="E20" s="22">
        <f>SUMIFS(tbl_FuelLog[Litres],tbl_FuelLog[Month],4,tbl_FuelLog[Year],YEAR(TODAY()))</f>
        <v/>
      </c>
      <c r="F20" s="22">
        <f>SUMIFS(tbl_FuelLog[Litres],tbl_FuelLog[Month],5,tbl_FuelLog[Year],YEAR(TODAY()))</f>
        <v/>
      </c>
      <c r="G20" s="22">
        <f>SUMIFS(tbl_FuelLog[Litres],tbl_FuelLog[Month],6,tbl_FuelLog[Year],YEAR(TODAY()))</f>
        <v/>
      </c>
      <c r="H20" s="22">
        <f>SUMIFS(tbl_FuelLog[Litres],tbl_FuelLog[Month],7,tbl_FuelLog[Year],YEAR(TODAY()))</f>
        <v/>
      </c>
      <c r="I20" s="22">
        <f>SUMIFS(tbl_FuelLog[Litres],tbl_FuelLog[Month],8,tbl_FuelLog[Year],YEAR(TODAY()))</f>
        <v/>
      </c>
      <c r="J20" s="22">
        <f>SUMIFS(tbl_FuelLog[Litres],tbl_FuelLog[Month],9,tbl_FuelLog[Year],YEAR(TODAY()))</f>
        <v/>
      </c>
      <c r="K20" s="22">
        <f>SUMIFS(tbl_FuelLog[Litres],tbl_FuelLog[Month],10,tbl_FuelLog[Year],YEAR(TODAY()))</f>
        <v/>
      </c>
      <c r="L20" s="22">
        <f>SUMIFS(tbl_FuelLog[Litres],tbl_FuelLog[Month],11,tbl_FuelLog[Year],YEAR(TODAY()))</f>
        <v/>
      </c>
      <c r="M20" s="22">
        <f>SUMIFS(tbl_FuelLog[Litres],tbl_FuelLog[Month],12,tbl_FuelLog[Year],YEAR(TODAY()))</f>
        <v/>
      </c>
    </row>
    <row r="21">
      <c r="A21" s="28" t="inlineStr">
        <is>
          <t>Fuel Cost</t>
        </is>
      </c>
      <c r="B21" s="22">
        <f>SUMIFS(tbl_FuelLog[Cost],tbl_FuelLog[Month],1,tbl_FuelLog[Year],YEAR(TODAY()))</f>
        <v/>
      </c>
      <c r="C21" s="22">
        <f>SUMIFS(tbl_FuelLog[Cost],tbl_FuelLog[Month],2,tbl_FuelLog[Year],YEAR(TODAY()))</f>
        <v/>
      </c>
      <c r="D21" s="22">
        <f>SUMIFS(tbl_FuelLog[Cost],tbl_FuelLog[Month],3,tbl_FuelLog[Year],YEAR(TODAY()))</f>
        <v/>
      </c>
      <c r="E21" s="22">
        <f>SUMIFS(tbl_FuelLog[Cost],tbl_FuelLog[Month],4,tbl_FuelLog[Year],YEAR(TODAY()))</f>
        <v/>
      </c>
      <c r="F21" s="22">
        <f>SUMIFS(tbl_FuelLog[Cost],tbl_FuelLog[Month],5,tbl_FuelLog[Year],YEAR(TODAY()))</f>
        <v/>
      </c>
      <c r="G21" s="22">
        <f>SUMIFS(tbl_FuelLog[Cost],tbl_FuelLog[Month],6,tbl_FuelLog[Year],YEAR(TODAY()))</f>
        <v/>
      </c>
      <c r="H21" s="22">
        <f>SUMIFS(tbl_FuelLog[Cost],tbl_FuelLog[Month],7,tbl_FuelLog[Year],YEAR(TODAY()))</f>
        <v/>
      </c>
      <c r="I21" s="22">
        <f>SUMIFS(tbl_FuelLog[Cost],tbl_FuelLog[Month],8,tbl_FuelLog[Year],YEAR(TODAY()))</f>
        <v/>
      </c>
      <c r="J21" s="22">
        <f>SUMIFS(tbl_FuelLog[Cost],tbl_FuelLog[Month],9,tbl_FuelLog[Year],YEAR(TODAY()))</f>
        <v/>
      </c>
      <c r="K21" s="22">
        <f>SUMIFS(tbl_FuelLog[Cost],tbl_FuelLog[Month],10,tbl_FuelLog[Year],YEAR(TODAY()))</f>
        <v/>
      </c>
      <c r="L21" s="22">
        <f>SUMIFS(tbl_FuelLog[Cost],tbl_FuelLog[Month],11,tbl_FuelLog[Year],YEAR(TODAY()))</f>
        <v/>
      </c>
      <c r="M21" s="22">
        <f>SUMIFS(tbl_FuelLog[Cost],tbl_FuelLog[Month],12,tbl_FuelLog[Year],YEAR(TODAY()))</f>
        <v/>
      </c>
    </row>
  </sheetData>
  <mergeCells count="7">
    <mergeCell ref="A2:L2"/>
    <mergeCell ref="A1:L1"/>
    <mergeCell ref="A5:L5"/>
    <mergeCell ref="A13:L13"/>
    <mergeCell ref="A17:L17"/>
    <mergeCell ref="A9:L9"/>
    <mergeCell ref="A3:L3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tabColor rgb="00538135"/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42" customHeight="1">
      <c r="A1" s="74" t="inlineStr">
        <is>
          <t>FNID AREA 3 — EVIDENCE &amp; FORENSICS DASHBOARD</t>
        </is>
      </c>
    </row>
    <row r="2">
      <c r="A2" s="52" t="inlineStr">
        <is>
          <t>Exhibits, Forensic Routing, Chain of Custody &amp; Court Readiness</t>
        </is>
      </c>
    </row>
    <row r="3">
      <c r="A3" s="67" t="inlineStr">
        <is>
          <t>Auto-generated from operational data tables | Refresh: re-open workbook</t>
        </is>
      </c>
    </row>
    <row r="5">
      <c r="A5" s="20" t="inlineStr">
        <is>
          <t>EXHIBIT VOLUME</t>
        </is>
      </c>
    </row>
    <row r="6">
      <c r="A6" s="37" t="inlineStr">
        <is>
          <t>Total Exhibits</t>
        </is>
      </c>
      <c r="B6" s="37" t="inlineStr">
        <is>
          <t>Firearms</t>
        </is>
      </c>
      <c r="C6" s="37" t="inlineStr">
        <is>
          <t>Ammunition</t>
        </is>
      </c>
      <c r="D6" s="37" t="inlineStr">
        <is>
          <t>Cannabis</t>
        </is>
      </c>
      <c r="E6" s="37" t="inlineStr">
        <is>
          <t>Cocaine</t>
        </is>
      </c>
      <c r="F6" s="37" t="inlineStr">
        <is>
          <t>Electronic Dev</t>
        </is>
      </c>
      <c r="G6" s="37" t="inlineStr">
        <is>
          <t>Cash/Currency</t>
        </is>
      </c>
      <c r="H6" s="37" t="inlineStr">
        <is>
          <t>Other</t>
        </is>
      </c>
    </row>
    <row r="7">
      <c r="A7" s="26">
        <f>COUNTA(tbl_Exhibits[ExhibitID])-COUNTBLANK(tbl_Exhibits[ExhibitID])</f>
        <v/>
      </c>
      <c r="B7" s="26">
        <f>COUNTIF(tbl_Exhibits[EvidenceType],"Firearm")</f>
        <v/>
      </c>
      <c r="C7" s="26">
        <f>COUNTIF(tbl_Exhibits[EvidenceType],"Ammunition")</f>
        <v/>
      </c>
      <c r="D7" s="26">
        <f>COUNTIF(tbl_Exhibits[EvidenceType],"Narcotics - Cannabis")</f>
        <v/>
      </c>
      <c r="E7" s="26">
        <f>COUNTIF(tbl_Exhibits[EvidenceType],"Narcotics - Cocaine")</f>
        <v/>
      </c>
      <c r="F7" s="26">
        <f>COUNTIF(tbl_Exhibits[EvidenceType],"Electronic Device")</f>
        <v/>
      </c>
      <c r="G7" s="26">
        <f>COUNTIF(tbl_Exhibits[EvidenceType],"Cash/Currency")</f>
        <v/>
      </c>
      <c r="H7" s="26">
        <f>COUNTIF(tbl_Exhibits[EvidenceType],"Other*")</f>
        <v/>
      </c>
    </row>
    <row r="9">
      <c r="A9" s="20" t="inlineStr">
        <is>
          <t>FORENSIC STATUS</t>
        </is>
      </c>
    </row>
    <row r="10">
      <c r="A10" s="37" t="inlineStr">
        <is>
          <t>Pending Submission</t>
        </is>
      </c>
      <c r="B10" s="37" t="inlineStr">
        <is>
          <t>Submitted</t>
        </is>
      </c>
      <c r="C10" s="37" t="inlineStr">
        <is>
          <t>In Progress</t>
        </is>
      </c>
      <c r="D10" s="37" t="inlineStr">
        <is>
          <t>Completed</t>
        </is>
      </c>
      <c r="E10" s="37" t="inlineStr">
        <is>
          <t>Inconclusive</t>
        </is>
      </c>
      <c r="F10" s="37" t="inlineStr">
        <is>
          <t>Avg Turnaround</t>
        </is>
      </c>
      <c r="G10" s="37" t="inlineStr">
        <is>
          <t>Overdue Returns</t>
        </is>
      </c>
      <c r="H10" s="37" t="inlineStr">
        <is>
          <t>Max Turnaround</t>
        </is>
      </c>
    </row>
    <row r="11">
      <c r="A11" s="26">
        <f>COUNTIF(tbl_Exhibits[AnalysisStatus],"Pending")</f>
        <v/>
      </c>
      <c r="B11" s="26">
        <f>COUNTIF(tbl_Exhibits[AnalysisStatus],"Submitted")</f>
        <v/>
      </c>
      <c r="C11" s="26">
        <f>COUNTIF(tbl_Exhibits[AnalysisStatus],"In Progress")</f>
        <v/>
      </c>
      <c r="D11" s="26">
        <f>COUNTIF(tbl_Exhibits[AnalysisStatus],"Completed")</f>
        <v/>
      </c>
      <c r="E11" s="26">
        <f>COUNTIF(tbl_Exhibits[AnalysisStatus],"Inconclusive")</f>
        <v/>
      </c>
      <c r="F11" s="26">
        <f>IFERROR(AVERAGE(tbl_Exhibits[TurnaroundDays]),"—")</f>
        <v/>
      </c>
      <c r="G11" s="26">
        <f>COUNTIFS(tbl_Exhibits[ExpectedReturn],"&lt;"&amp;TODAY(),tbl_Exhibits[ActualReturnDate],"")</f>
        <v/>
      </c>
      <c r="H11" s="26">
        <f>IFERROR(MAX(tbl_Exhibits[TurnaroundDays]),"—")</f>
        <v/>
      </c>
    </row>
    <row r="13">
      <c r="A13" s="20" t="inlineStr">
        <is>
          <t>COURT READINESS &amp; CHAIN OF CUSTODY</t>
        </is>
      </c>
    </row>
    <row r="14">
      <c r="A14" s="37" t="inlineStr">
        <is>
          <t>Ready</t>
        </is>
      </c>
      <c r="B14" s="37" t="inlineStr">
        <is>
          <t>Not Ready</t>
        </is>
      </c>
      <c r="C14" s="37" t="inlineStr">
        <is>
          <t>Partial</t>
        </is>
      </c>
      <c r="D14" s="37" t="inlineStr">
        <is>
          <t>Custody Transfers</t>
        </is>
      </c>
      <c r="E14" s="37" t="inlineStr">
        <is>
          <t>Scenes Processed</t>
        </is>
      </c>
      <c r="F14" s="37" t="inlineStr">
        <is>
          <t>GSR Collected</t>
        </is>
      </c>
    </row>
    <row r="15">
      <c r="A15" s="26">
        <f>COUNTIF(tbl_Exhibits[CourtReadiness],"Ready")</f>
        <v/>
      </c>
      <c r="B15" s="26">
        <f>COUNTIF(tbl_Exhibits[CourtReadiness],"Not Ready")</f>
        <v/>
      </c>
      <c r="C15" s="26">
        <f>COUNTIF(tbl_Exhibits[CourtReadiness],"Partial")</f>
        <v/>
      </c>
      <c r="D15" s="26">
        <f>COUNTA(tbl_CustodyTransfers[TransferID])-COUNTBLANK(tbl_CustodyTransfers[TransferID])</f>
        <v/>
      </c>
      <c r="E15" s="26">
        <f>COUNTA(tbl_SceneLog[SceneID])-COUNTBLANK(tbl_SceneLog[SceneID])</f>
        <v/>
      </c>
      <c r="F15" s="26">
        <f>COUNTIF(tbl_SceneLog[GSR_Collected],"Yes")</f>
        <v/>
      </c>
    </row>
    <row r="17">
      <c r="A17" s="20" t="inlineStr">
        <is>
          <t>MONTHLY TREND (Current Year)</t>
        </is>
      </c>
    </row>
    <row r="18">
      <c r="A18" s="58" t="inlineStr">
        <is>
          <t>Metric</t>
        </is>
      </c>
      <c r="B18" s="21" t="inlineStr">
        <is>
          <t>Jan</t>
        </is>
      </c>
      <c r="C18" s="21" t="inlineStr">
        <is>
          <t>Feb</t>
        </is>
      </c>
      <c r="D18" s="21" t="inlineStr">
        <is>
          <t>Mar</t>
        </is>
      </c>
      <c r="E18" s="21" t="inlineStr">
        <is>
          <t>Apr</t>
        </is>
      </c>
      <c r="F18" s="21" t="inlineStr">
        <is>
          <t>May</t>
        </is>
      </c>
      <c r="G18" s="21" t="inlineStr">
        <is>
          <t>Jun</t>
        </is>
      </c>
      <c r="H18" s="21" t="inlineStr">
        <is>
          <t>Jul</t>
        </is>
      </c>
      <c r="I18" s="21" t="inlineStr">
        <is>
          <t>Aug</t>
        </is>
      </c>
      <c r="J18" s="21" t="inlineStr">
        <is>
          <t>Sep</t>
        </is>
      </c>
      <c r="K18" s="21" t="inlineStr">
        <is>
          <t>Oct</t>
        </is>
      </c>
      <c r="L18" s="21" t="inlineStr">
        <is>
          <t>Nov</t>
        </is>
      </c>
      <c r="M18" s="21" t="inlineStr">
        <is>
          <t>Dec</t>
        </is>
      </c>
    </row>
    <row r="19">
      <c r="A19" s="28" t="inlineStr">
        <is>
          <t>Exhibits Collected</t>
        </is>
      </c>
      <c r="B19" s="22">
        <f>COUNTIFS(tbl_Exhibits[Month],1,tbl_Exhibits[Year],YEAR(TODAY()))</f>
        <v/>
      </c>
      <c r="C19" s="22">
        <f>COUNTIFS(tbl_Exhibits[Month],2,tbl_Exhibits[Year],YEAR(TODAY()))</f>
        <v/>
      </c>
      <c r="D19" s="22">
        <f>COUNTIFS(tbl_Exhibits[Month],3,tbl_Exhibits[Year],YEAR(TODAY()))</f>
        <v/>
      </c>
      <c r="E19" s="22">
        <f>COUNTIFS(tbl_Exhibits[Month],4,tbl_Exhibits[Year],YEAR(TODAY()))</f>
        <v/>
      </c>
      <c r="F19" s="22">
        <f>COUNTIFS(tbl_Exhibits[Month],5,tbl_Exhibits[Year],YEAR(TODAY()))</f>
        <v/>
      </c>
      <c r="G19" s="22">
        <f>COUNTIFS(tbl_Exhibits[Month],6,tbl_Exhibits[Year],YEAR(TODAY()))</f>
        <v/>
      </c>
      <c r="H19" s="22">
        <f>COUNTIFS(tbl_Exhibits[Month],7,tbl_Exhibits[Year],YEAR(TODAY()))</f>
        <v/>
      </c>
      <c r="I19" s="22">
        <f>COUNTIFS(tbl_Exhibits[Month],8,tbl_Exhibits[Year],YEAR(TODAY()))</f>
        <v/>
      </c>
      <c r="J19" s="22">
        <f>COUNTIFS(tbl_Exhibits[Month],9,tbl_Exhibits[Year],YEAR(TODAY()))</f>
        <v/>
      </c>
      <c r="K19" s="22">
        <f>COUNTIFS(tbl_Exhibits[Month],10,tbl_Exhibits[Year],YEAR(TODAY()))</f>
        <v/>
      </c>
      <c r="L19" s="22">
        <f>COUNTIFS(tbl_Exhibits[Month],11,tbl_Exhibits[Year],YEAR(TODAY()))</f>
        <v/>
      </c>
      <c r="M19" s="22">
        <f>COUNTIFS(tbl_Exhibits[Month],12,tbl_Exhibits[Year],YEAR(TODAY()))</f>
        <v/>
      </c>
    </row>
    <row r="20">
      <c r="A20" s="28" t="inlineStr">
        <is>
          <t>Forensic Completed</t>
        </is>
      </c>
      <c r="B20" s="22">
        <f>COUNTIFS(tbl_Exhibits[AnalysisStatus],"Completed",tbl_Exhibits[Month],1,tbl_Exhibits[Year],YEAR(TODAY()))</f>
        <v/>
      </c>
      <c r="C20" s="22">
        <f>COUNTIFS(tbl_Exhibits[AnalysisStatus],"Completed",tbl_Exhibits[Month],2,tbl_Exhibits[Year],YEAR(TODAY()))</f>
        <v/>
      </c>
      <c r="D20" s="22">
        <f>COUNTIFS(tbl_Exhibits[AnalysisStatus],"Completed",tbl_Exhibits[Month],3,tbl_Exhibits[Year],YEAR(TODAY()))</f>
        <v/>
      </c>
      <c r="E20" s="22">
        <f>COUNTIFS(tbl_Exhibits[AnalysisStatus],"Completed",tbl_Exhibits[Month],4,tbl_Exhibits[Year],YEAR(TODAY()))</f>
        <v/>
      </c>
      <c r="F20" s="22">
        <f>COUNTIFS(tbl_Exhibits[AnalysisStatus],"Completed",tbl_Exhibits[Month],5,tbl_Exhibits[Year],YEAR(TODAY()))</f>
        <v/>
      </c>
      <c r="G20" s="22">
        <f>COUNTIFS(tbl_Exhibits[AnalysisStatus],"Completed",tbl_Exhibits[Month],6,tbl_Exhibits[Year],YEAR(TODAY()))</f>
        <v/>
      </c>
      <c r="H20" s="22">
        <f>COUNTIFS(tbl_Exhibits[AnalysisStatus],"Completed",tbl_Exhibits[Month],7,tbl_Exhibits[Year],YEAR(TODAY()))</f>
        <v/>
      </c>
      <c r="I20" s="22">
        <f>COUNTIFS(tbl_Exhibits[AnalysisStatus],"Completed",tbl_Exhibits[Month],8,tbl_Exhibits[Year],YEAR(TODAY()))</f>
        <v/>
      </c>
      <c r="J20" s="22">
        <f>COUNTIFS(tbl_Exhibits[AnalysisStatus],"Completed",tbl_Exhibits[Month],9,tbl_Exhibits[Year],YEAR(TODAY()))</f>
        <v/>
      </c>
      <c r="K20" s="22">
        <f>COUNTIFS(tbl_Exhibits[AnalysisStatus],"Completed",tbl_Exhibits[Month],10,tbl_Exhibits[Year],YEAR(TODAY()))</f>
        <v/>
      </c>
      <c r="L20" s="22">
        <f>COUNTIFS(tbl_Exhibits[AnalysisStatus],"Completed",tbl_Exhibits[Month],11,tbl_Exhibits[Year],YEAR(TODAY()))</f>
        <v/>
      </c>
      <c r="M20" s="22">
        <f>COUNTIFS(tbl_Exhibits[AnalysisStatus],"Completed",tbl_Exhibits[Month],12,tbl_Exhibits[Year],YEAR(TODAY()))</f>
        <v/>
      </c>
    </row>
  </sheetData>
  <mergeCells count="7">
    <mergeCell ref="A2:L2"/>
    <mergeCell ref="A1:L1"/>
    <mergeCell ref="A5:L5"/>
    <mergeCell ref="A13:L13"/>
    <mergeCell ref="A17:L17"/>
    <mergeCell ref="A9:L9"/>
    <mergeCell ref="A3:L3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tabColor rgb="0000B050"/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42" customHeight="1">
      <c r="A1" s="75" t="inlineStr">
        <is>
          <t>FNID AREA 3 — DEMAND REDUCTION DASHBOARD</t>
        </is>
      </c>
    </row>
    <row r="2">
      <c r="A2" s="52" t="inlineStr">
        <is>
          <t>Community Outreach Lectures, Attendance &amp; Coverage</t>
        </is>
      </c>
    </row>
    <row r="3">
      <c r="A3" s="67" t="inlineStr">
        <is>
          <t>Auto-generated from operational data tables | Refresh: re-open workbook</t>
        </is>
      </c>
    </row>
    <row r="5">
      <c r="A5" s="20" t="inlineStr">
        <is>
          <t>SESSION VOLUME &amp; ATTENDANCE</t>
        </is>
      </c>
    </row>
    <row r="6">
      <c r="A6" s="38" t="inlineStr">
        <is>
          <t>Sessions Held</t>
        </is>
      </c>
      <c r="B6" s="38" t="inlineStr">
        <is>
          <t>Total Attendance</t>
        </is>
      </c>
      <c r="C6" s="38" t="inlineStr">
        <is>
          <t>Avg Attendance</t>
        </is>
      </c>
      <c r="D6" s="38" t="inlineStr">
        <is>
          <t>Max Attendance</t>
        </is>
      </c>
      <c r="E6" s="38" t="inlineStr">
        <is>
          <t>Total Hours</t>
        </is>
      </c>
      <c r="F6" s="38" t="inlineStr">
        <is>
          <t>Avg Duration (hrs)</t>
        </is>
      </c>
      <c r="G6" s="38" t="inlineStr">
        <is>
          <t>With Follow-Up</t>
        </is>
      </c>
      <c r="H6" s="38" t="inlineStr">
        <is>
          <t>Parishes Covered</t>
        </is>
      </c>
    </row>
    <row r="7">
      <c r="A7" s="26">
        <f>COUNTA(tbl_DemandReduction[LectureID])-COUNTBLANK(tbl_DemandReduction[LectureID])</f>
        <v/>
      </c>
      <c r="B7" s="26">
        <f>SUM(tbl_DemandReduction[Attendance])</f>
        <v/>
      </c>
      <c r="C7" s="26">
        <f>IFERROR(AVERAGE(tbl_DemandReduction[Attendance]),"—")</f>
        <v/>
      </c>
      <c r="D7" s="26">
        <f>IFERROR(MAX(tbl_DemandReduction[Attendance]),"—")</f>
        <v/>
      </c>
      <c r="E7" s="26">
        <f>SUM(tbl_DemandReduction[Duration_Hrs])</f>
        <v/>
      </c>
      <c r="F7" s="26">
        <f>IFERROR(AVERAGE(tbl_DemandReduction[Duration_Hrs]),"—")</f>
        <v/>
      </c>
      <c r="G7" s="26">
        <f>COUNTIF(tbl_DemandReduction[FollowUpPlanned],"Yes")</f>
        <v/>
      </c>
      <c r="H7" s="26">
        <f>IFERROR(SUMPRODUCT(1/COUNTIF(tbl_DemandReduction[Parish],tbl_DemandReduction[Parish])),"—")</f>
        <v/>
      </c>
    </row>
    <row r="9">
      <c r="A9" s="20" t="inlineStr">
        <is>
          <t>MONTHLY TREND (Current Year)</t>
        </is>
      </c>
    </row>
    <row r="10">
      <c r="A10" s="58" t="inlineStr">
        <is>
          <t>Metric</t>
        </is>
      </c>
      <c r="B10" s="21" t="inlineStr">
        <is>
          <t>Jan</t>
        </is>
      </c>
      <c r="C10" s="21" t="inlineStr">
        <is>
          <t>Feb</t>
        </is>
      </c>
      <c r="D10" s="21" t="inlineStr">
        <is>
          <t>Mar</t>
        </is>
      </c>
      <c r="E10" s="21" t="inlineStr">
        <is>
          <t>Apr</t>
        </is>
      </c>
      <c r="F10" s="21" t="inlineStr">
        <is>
          <t>May</t>
        </is>
      </c>
      <c r="G10" s="21" t="inlineStr">
        <is>
          <t>Jun</t>
        </is>
      </c>
      <c r="H10" s="21" t="inlineStr">
        <is>
          <t>Jul</t>
        </is>
      </c>
      <c r="I10" s="21" t="inlineStr">
        <is>
          <t>Aug</t>
        </is>
      </c>
      <c r="J10" s="21" t="inlineStr">
        <is>
          <t>Sep</t>
        </is>
      </c>
      <c r="K10" s="21" t="inlineStr">
        <is>
          <t>Oct</t>
        </is>
      </c>
      <c r="L10" s="21" t="inlineStr">
        <is>
          <t>Nov</t>
        </is>
      </c>
      <c r="M10" s="21" t="inlineStr">
        <is>
          <t>Dec</t>
        </is>
      </c>
    </row>
    <row r="11">
      <c r="A11" s="28" t="inlineStr">
        <is>
          <t>Sessions</t>
        </is>
      </c>
      <c r="B11" s="22">
        <f>COUNTIFS(tbl_DemandReduction[Month],1,tbl_DemandReduction[Year],YEAR(TODAY()))</f>
        <v/>
      </c>
      <c r="C11" s="22">
        <f>COUNTIFS(tbl_DemandReduction[Month],2,tbl_DemandReduction[Year],YEAR(TODAY()))</f>
        <v/>
      </c>
      <c r="D11" s="22">
        <f>COUNTIFS(tbl_DemandReduction[Month],3,tbl_DemandReduction[Year],YEAR(TODAY()))</f>
        <v/>
      </c>
      <c r="E11" s="22">
        <f>COUNTIFS(tbl_DemandReduction[Month],4,tbl_DemandReduction[Year],YEAR(TODAY()))</f>
        <v/>
      </c>
      <c r="F11" s="22">
        <f>COUNTIFS(tbl_DemandReduction[Month],5,tbl_DemandReduction[Year],YEAR(TODAY()))</f>
        <v/>
      </c>
      <c r="G11" s="22">
        <f>COUNTIFS(tbl_DemandReduction[Month],6,tbl_DemandReduction[Year],YEAR(TODAY()))</f>
        <v/>
      </c>
      <c r="H11" s="22">
        <f>COUNTIFS(tbl_DemandReduction[Month],7,tbl_DemandReduction[Year],YEAR(TODAY()))</f>
        <v/>
      </c>
      <c r="I11" s="22">
        <f>COUNTIFS(tbl_DemandReduction[Month],8,tbl_DemandReduction[Year],YEAR(TODAY()))</f>
        <v/>
      </c>
      <c r="J11" s="22">
        <f>COUNTIFS(tbl_DemandReduction[Month],9,tbl_DemandReduction[Year],YEAR(TODAY()))</f>
        <v/>
      </c>
      <c r="K11" s="22">
        <f>COUNTIFS(tbl_DemandReduction[Month],10,tbl_DemandReduction[Year],YEAR(TODAY()))</f>
        <v/>
      </c>
      <c r="L11" s="22">
        <f>COUNTIFS(tbl_DemandReduction[Month],11,tbl_DemandReduction[Year],YEAR(TODAY()))</f>
        <v/>
      </c>
      <c r="M11" s="22">
        <f>COUNTIFS(tbl_DemandReduction[Month],12,tbl_DemandReduction[Year],YEAR(TODAY()))</f>
        <v/>
      </c>
    </row>
    <row r="12">
      <c r="A12" s="28" t="inlineStr">
        <is>
          <t>Attendance</t>
        </is>
      </c>
      <c r="B12" s="22">
        <f>SUMIFS(tbl_DemandReduction[Attendance],tbl_DemandReduction[Month],1,tbl_DemandReduction[Year],YEAR(TODAY()))</f>
        <v/>
      </c>
      <c r="C12" s="22">
        <f>SUMIFS(tbl_DemandReduction[Attendance],tbl_DemandReduction[Month],2,tbl_DemandReduction[Year],YEAR(TODAY()))</f>
        <v/>
      </c>
      <c r="D12" s="22">
        <f>SUMIFS(tbl_DemandReduction[Attendance],tbl_DemandReduction[Month],3,tbl_DemandReduction[Year],YEAR(TODAY()))</f>
        <v/>
      </c>
      <c r="E12" s="22">
        <f>SUMIFS(tbl_DemandReduction[Attendance],tbl_DemandReduction[Month],4,tbl_DemandReduction[Year],YEAR(TODAY()))</f>
        <v/>
      </c>
      <c r="F12" s="22">
        <f>SUMIFS(tbl_DemandReduction[Attendance],tbl_DemandReduction[Month],5,tbl_DemandReduction[Year],YEAR(TODAY()))</f>
        <v/>
      </c>
      <c r="G12" s="22">
        <f>SUMIFS(tbl_DemandReduction[Attendance],tbl_DemandReduction[Month],6,tbl_DemandReduction[Year],YEAR(TODAY()))</f>
        <v/>
      </c>
      <c r="H12" s="22">
        <f>SUMIFS(tbl_DemandReduction[Attendance],tbl_DemandReduction[Month],7,tbl_DemandReduction[Year],YEAR(TODAY()))</f>
        <v/>
      </c>
      <c r="I12" s="22">
        <f>SUMIFS(tbl_DemandReduction[Attendance],tbl_DemandReduction[Month],8,tbl_DemandReduction[Year],YEAR(TODAY()))</f>
        <v/>
      </c>
      <c r="J12" s="22">
        <f>SUMIFS(tbl_DemandReduction[Attendance],tbl_DemandReduction[Month],9,tbl_DemandReduction[Year],YEAR(TODAY()))</f>
        <v/>
      </c>
      <c r="K12" s="22">
        <f>SUMIFS(tbl_DemandReduction[Attendance],tbl_DemandReduction[Month],10,tbl_DemandReduction[Year],YEAR(TODAY()))</f>
        <v/>
      </c>
      <c r="L12" s="22">
        <f>SUMIFS(tbl_DemandReduction[Attendance],tbl_DemandReduction[Month],11,tbl_DemandReduction[Year],YEAR(TODAY()))</f>
        <v/>
      </c>
      <c r="M12" s="22">
        <f>SUMIFS(tbl_DemandReduction[Attendance],tbl_DemandReduction[Month],12,tbl_DemandReduction[Year],YEAR(TODAY()))</f>
        <v/>
      </c>
    </row>
    <row r="13">
      <c r="A13" s="28" t="inlineStr">
        <is>
          <t>Hours</t>
        </is>
      </c>
      <c r="B13" s="22">
        <f>SUMIFS(tbl_DemandReduction[Duration_Hrs],tbl_DemandReduction[Month],1,tbl_DemandReduction[Year],YEAR(TODAY()))</f>
        <v/>
      </c>
      <c r="C13" s="22">
        <f>SUMIFS(tbl_DemandReduction[Duration_Hrs],tbl_DemandReduction[Month],2,tbl_DemandReduction[Year],YEAR(TODAY()))</f>
        <v/>
      </c>
      <c r="D13" s="22">
        <f>SUMIFS(tbl_DemandReduction[Duration_Hrs],tbl_DemandReduction[Month],3,tbl_DemandReduction[Year],YEAR(TODAY()))</f>
        <v/>
      </c>
      <c r="E13" s="22">
        <f>SUMIFS(tbl_DemandReduction[Duration_Hrs],tbl_DemandReduction[Month],4,tbl_DemandReduction[Year],YEAR(TODAY()))</f>
        <v/>
      </c>
      <c r="F13" s="22">
        <f>SUMIFS(tbl_DemandReduction[Duration_Hrs],tbl_DemandReduction[Month],5,tbl_DemandReduction[Year],YEAR(TODAY()))</f>
        <v/>
      </c>
      <c r="G13" s="22">
        <f>SUMIFS(tbl_DemandReduction[Duration_Hrs],tbl_DemandReduction[Month],6,tbl_DemandReduction[Year],YEAR(TODAY()))</f>
        <v/>
      </c>
      <c r="H13" s="22">
        <f>SUMIFS(tbl_DemandReduction[Duration_Hrs],tbl_DemandReduction[Month],7,tbl_DemandReduction[Year],YEAR(TODAY()))</f>
        <v/>
      </c>
      <c r="I13" s="22">
        <f>SUMIFS(tbl_DemandReduction[Duration_Hrs],tbl_DemandReduction[Month],8,tbl_DemandReduction[Year],YEAR(TODAY()))</f>
        <v/>
      </c>
      <c r="J13" s="22">
        <f>SUMIFS(tbl_DemandReduction[Duration_Hrs],tbl_DemandReduction[Month],9,tbl_DemandReduction[Year],YEAR(TODAY()))</f>
        <v/>
      </c>
      <c r="K13" s="22">
        <f>SUMIFS(tbl_DemandReduction[Duration_Hrs],tbl_DemandReduction[Month],10,tbl_DemandReduction[Year],YEAR(TODAY()))</f>
        <v/>
      </c>
      <c r="L13" s="22">
        <f>SUMIFS(tbl_DemandReduction[Duration_Hrs],tbl_DemandReduction[Month],11,tbl_DemandReduction[Year],YEAR(TODAY()))</f>
        <v/>
      </c>
      <c r="M13" s="22">
        <f>SUMIFS(tbl_DemandReduction[Duration_Hrs],tbl_DemandReduction[Month],12,tbl_DemandReduction[Year],YEAR(TODAY()))</f>
        <v/>
      </c>
    </row>
  </sheetData>
  <mergeCells count="5">
    <mergeCell ref="A2:L2"/>
    <mergeCell ref="A1:L1"/>
    <mergeCell ref="A5:L5"/>
    <mergeCell ref="A9:L9"/>
    <mergeCell ref="A3:L3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tabColor rgb="00002060"/>
    <outlinePr summaryBelow="1" summaryRight="1"/>
    <pageSetUpPr/>
  </sheetPr>
  <dimension ref="A1:L2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42" customHeight="1">
      <c r="A1" s="76" t="inlineStr">
        <is>
          <t>FNID AREA 3 — OVERSIGHT &amp; COMPLIANCE DASHBOARD</t>
        </is>
      </c>
    </row>
    <row r="2">
      <c r="A2" s="52" t="inlineStr">
        <is>
          <t>Governance, SOP Compliance, Audit Metrics &amp; Risk Monitoring</t>
        </is>
      </c>
    </row>
    <row r="3">
      <c r="A3" s="67" t="inlineStr">
        <is>
          <t>Auto-generated from operational data tables | Refresh: re-open workbook</t>
        </is>
      </c>
    </row>
    <row r="5">
      <c r="A5" s="20" t="inlineStr">
        <is>
          <t>OVERALL COMPLIANCE STATUS</t>
        </is>
      </c>
    </row>
    <row r="6">
      <c r="A6" s="77" t="inlineStr">
        <is>
          <t>KPIs On Track</t>
        </is>
      </c>
      <c r="B6" s="77" t="inlineStr">
        <is>
          <t>KPIs At Risk</t>
        </is>
      </c>
      <c r="C6" s="77" t="inlineStr">
        <is>
          <t>KPIs Off Track</t>
        </is>
      </c>
      <c r="D6" s="77" t="inlineStr">
        <is>
          <t>CR Compliance %</t>
        </is>
      </c>
      <c r="E6" s="77" t="inlineStr">
        <is>
          <t>Overdue Actions</t>
        </is>
      </c>
      <c r="F6" s="77" t="inlineStr">
        <is>
          <t>Overdue Reviews</t>
        </is>
      </c>
    </row>
    <row r="7">
      <c r="A7" s="26">
        <f>COUNTIF(tbl_UnitPlans[TrafficLight_Monthly],"On Track")</f>
        <v/>
      </c>
      <c r="B7" s="26">
        <f>COUNTIF(tbl_UnitPlans[TrafficLight_Monthly],"At Risk")</f>
        <v/>
      </c>
      <c r="C7" s="26">
        <f>COUNTIF(tbl_UnitPlans[TrafficLight_Monthly],"Off Track")</f>
        <v/>
      </c>
      <c r="D7" s="26">
        <f>IFERROR(COUNTIF(tbl_Cases[ComplianceFlag],"Compliant")/COUNTA(tbl_Cases[ComplianceFlag]),"—")</f>
        <v/>
      </c>
      <c r="E7" s="26">
        <f>COUNTIFS(tbl_Actions[DueDate],"&lt;"&amp;TODAY(),tbl_Actions[CompletedDate],"")</f>
        <v/>
      </c>
      <c r="F7" s="26">
        <f>COUNTIFS(tbl_Reviews[NextReviewDue],"&lt;"&amp;TODAY())</f>
        <v/>
      </c>
    </row>
    <row r="9">
      <c r="A9" s="20" t="inlineStr">
        <is>
          <t>SOP COMPLIANCE — CASE MANAGEMENT</t>
        </is>
      </c>
    </row>
    <row r="10">
      <c r="A10" s="77" t="inlineStr">
        <is>
          <t>Files Complete (&gt;95%)</t>
        </is>
      </c>
      <c r="B10" s="77" t="inlineStr">
        <is>
          <t>Files Incomplete (&lt;50%)</t>
        </is>
      </c>
      <c r="C10" s="77" t="inlineStr">
        <is>
          <t>Avg File Score</t>
        </is>
      </c>
      <c r="D10" s="77" t="inlineStr">
        <is>
          <t>48hr Charge Met</t>
        </is>
      </c>
      <c r="E10" s="77" t="inlineStr">
        <is>
          <t>48hr Missed</t>
        </is>
      </c>
      <c r="F10" s="77" t="inlineStr">
        <is>
          <t>Pending Disposal</t>
        </is>
      </c>
    </row>
    <row r="11">
      <c r="A11" s="26">
        <f>COUNTIFS(tbl_Cases[FileCompletenessScore],"&gt;="&amp;0.95)</f>
        <v/>
      </c>
      <c r="B11" s="26">
        <f>COUNTIFS(tbl_Cases[FileCompletenessScore],"&lt;"&amp;0.5)</f>
        <v/>
      </c>
      <c r="C11" s="26">
        <f>IFERROR(AVERAGE(tbl_Cases[FileCompletenessScore]),"—")</f>
        <v/>
      </c>
      <c r="D11" s="26">
        <f>COUNTIF(tbl_Cases[ChargeDeadlineMet],"Yes")</f>
        <v/>
      </c>
      <c r="E11" s="26">
        <f>COUNTIF(tbl_Cases[ChargeDeadlineMet],"No")</f>
        <v/>
      </c>
      <c r="F11" s="26">
        <f>COUNTIFS(tbl_Cases[CaseStatus],"Closed*",tbl_Cases[DisposalType],"")</f>
        <v/>
      </c>
    </row>
    <row r="13">
      <c r="A13" s="20" t="inlineStr">
        <is>
          <t>DIRECTIVE &amp; ESCALATION TRACKING</t>
        </is>
      </c>
    </row>
    <row r="14">
      <c r="A14" s="77" t="inlineStr">
        <is>
          <t>Review Directives</t>
        </is>
      </c>
      <c r="B14" s="77" t="inlineStr">
        <is>
          <t>Dir. Completed</t>
        </is>
      </c>
      <c r="C14" s="77" t="inlineStr">
        <is>
          <t>Dir. Overdue</t>
        </is>
      </c>
      <c r="D14" s="77" t="inlineStr">
        <is>
          <t>Conf. Directives</t>
        </is>
      </c>
      <c r="E14" s="77" t="inlineStr">
        <is>
          <t>Conf. Dir. Overdue</t>
        </is>
      </c>
      <c r="F14" s="77" t="inlineStr">
        <is>
          <t>Total Escalations</t>
        </is>
      </c>
    </row>
    <row r="15">
      <c r="A15" s="26">
        <f>COUNTIFS(tbl_Reviews[DirectivesIssued],"&lt;&gt;")</f>
        <v/>
      </c>
      <c r="B15" s="26">
        <f>COUNTIF(tbl_Reviews[DirectiveStatus],"Completed")</f>
        <v/>
      </c>
      <c r="C15" s="26">
        <f>COUNTIFS(tbl_Reviews[DirectiveDueDate],"&lt;"&amp;TODAY(),tbl_Reviews[DirectiveStatus],"&lt;&gt;Completed")</f>
        <v/>
      </c>
      <c r="D15" s="26">
        <f>COUNTIFS(tbl_CommandConference[DirectivesIssued],"&lt;&gt;")</f>
        <v/>
      </c>
      <c r="E15" s="26">
        <f>COUNTIFS(tbl_CommandConference[DirectiveDueDate],"&lt;"&amp;TODAY(),tbl_CommandConference[DirectiveStatus],"&lt;&gt;Completed")</f>
        <v/>
      </c>
      <c r="F15" s="26">
        <f>COUNTIF(tbl_Reviews[EscalationRequired],"Yes")</f>
        <v/>
      </c>
    </row>
    <row r="17">
      <c r="A17" s="20" t="inlineStr">
        <is>
          <t>EVIDENCE &amp; FORENSIC INTEGRITY</t>
        </is>
      </c>
    </row>
    <row r="18">
      <c r="A18" s="77" t="inlineStr">
        <is>
          <t>Exhibits Not Ready</t>
        </is>
      </c>
      <c r="B18" s="77" t="inlineStr">
        <is>
          <t>Forensic Overdue</t>
        </is>
      </c>
      <c r="C18" s="77" t="inlineStr">
        <is>
          <t>Custody Transfers</t>
        </is>
      </c>
      <c r="D18" s="77" t="inlineStr">
        <is>
          <t>Warrants Expired</t>
        </is>
      </c>
      <c r="E18" s="77" t="inlineStr">
        <is>
          <t>Victim Contact Overdue</t>
        </is>
      </c>
      <c r="F18" s="77" t="inlineStr">
        <is>
          <t>Summons Unserved</t>
        </is>
      </c>
    </row>
    <row r="19">
      <c r="A19" s="26">
        <f>COUNTIF(tbl_Exhibits[CourtReadiness],"Not Ready")</f>
        <v/>
      </c>
      <c r="B19" s="26">
        <f>COUNTIFS(tbl_Exhibits[ExpectedReturn],"&lt;"&amp;TODAY(),tbl_Exhibits[ActualReturnDate],"")</f>
        <v/>
      </c>
      <c r="C19" s="26">
        <f>COUNTA(tbl_CustodyTransfers[TransferID])-COUNTBLANK(tbl_CustodyTransfers[TransferID])</f>
        <v/>
      </c>
      <c r="D19" s="26">
        <f>COUNTIF(tbl_Warrants[Status],"Expired")</f>
        <v/>
      </c>
      <c r="E19" s="26">
        <f>COUNTIFS(tbl_VictimContact[NextScheduledContact],"&lt;"&amp;TODAY())</f>
        <v/>
      </c>
      <c r="F19" s="26">
        <f>COUNTIFS(tbl_Witnesses[SummonsIssued],"Yes",tbl_Witnesses[SummonsServed],"No")</f>
        <v/>
      </c>
    </row>
    <row r="21">
      <c r="A21" s="20" t="inlineStr">
        <is>
          <t>FLEET &amp; PERSONNEL COMPLIANCE</t>
        </is>
      </c>
    </row>
    <row r="22">
      <c r="A22" s="77" t="inlineStr">
        <is>
          <t>Vehicle Service Due</t>
        </is>
      </c>
      <c r="B22" s="77" t="inlineStr">
        <is>
          <t>Insurance Expired</t>
        </is>
      </c>
      <c r="C22" s="77" t="inlineStr">
        <is>
          <t>License Expired</t>
        </is>
      </c>
      <c r="D22" s="77" t="inlineStr">
        <is>
          <t>Training Overdue</t>
        </is>
      </c>
      <c r="E22" s="77" t="inlineStr">
        <is>
          <t>Informant Contact Due</t>
        </is>
      </c>
      <c r="F22" s="77" t="inlineStr">
        <is>
          <t>Plan Reviews Due</t>
        </is>
      </c>
    </row>
    <row r="23">
      <c r="A23" s="26">
        <f>COUNTIFS(tbl_Vehicles[NextServiceDue],"&lt;"&amp;TODAY())</f>
        <v/>
      </c>
      <c r="B23" s="26">
        <f>COUNTIFS(tbl_Vehicles[InsuranceExpiry],"&lt;"&amp;TODAY())</f>
        <v/>
      </c>
      <c r="C23" s="26">
        <f>COUNTIFS(tbl_Drivers[LicenseExpiry],"&lt;"&amp;TODAY())</f>
        <v/>
      </c>
      <c r="D23" s="26">
        <f>COUNTIFS(tbl_Personnel[NextTrainingDue],"&lt;"&amp;TODAY())</f>
        <v/>
      </c>
      <c r="E23" s="26">
        <f>COUNTIFS(tbl_Informants[NextContactDue],"&lt;"&amp;TODAY())</f>
        <v/>
      </c>
      <c r="F23" s="26">
        <f>COUNTIFS(tbl_InvestigationPlans[NextReviewDate],"&lt;"&amp;TODAY())</f>
        <v/>
      </c>
    </row>
  </sheetData>
  <mergeCells count="8">
    <mergeCell ref="A2:L2"/>
    <mergeCell ref="A1:L1"/>
    <mergeCell ref="A5:L5"/>
    <mergeCell ref="A13:L13"/>
    <mergeCell ref="A17:L17"/>
    <mergeCell ref="A9:L9"/>
    <mergeCell ref="A3:L3"/>
    <mergeCell ref="A21:L21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tabColor rgb="00548235"/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TRAINING PORTAL</t>
        </is>
      </c>
    </row>
    <row r="2" ht="24" customHeight="1">
      <c r="A2" s="18" t="inlineStr">
        <is>
          <t>Capacity Building, Courses, Certifications &amp; Personnel Development</t>
        </is>
      </c>
    </row>
    <row r="3" ht="18" customHeight="1">
      <c r="A3" s="19" t="inlineStr">
        <is>
          <t>Unit: Training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Training Sessions Conducted</t>
        </is>
      </c>
      <c r="B7" s="22">
        <f>IFERROR(INDEX(tbl_UnitPlans[Target_Monthly],MATCH("Training Sessions Conducted",tbl_UnitPlans[KPI_Name],0)),"—")</f>
        <v/>
      </c>
      <c r="C7" s="23">
        <f>IFERROR(INDEX(tbl_UnitPlans[Actual_MTD],MATCH("Training Sessions Conducted",tbl_UnitPlans[KPI_Name],0)),"—")</f>
        <v/>
      </c>
      <c r="D7" s="23">
        <f>IFERROR(INDEX(tbl_UnitPlans[Variance_Monthly],MATCH("Training Sessions Conducted",tbl_UnitPlans[KPI_Name],0)),"—")</f>
        <v/>
      </c>
      <c r="E7" s="24">
        <f>IFERROR(INDEX(tbl_UnitPlans[Achievement_Pct_Monthly],MATCH("Training Sessions Conducted",tbl_UnitPlans[KPI_Name],0)),"—")</f>
        <v/>
      </c>
      <c r="F7" s="23">
        <f>IFERROR(INDEX(tbl_UnitPlans[TrafficLight_Monthly],MATCH("Training Sessions Conducted",tbl_UnitPlans[KPI_Name],0)),"—")</f>
        <v/>
      </c>
    </row>
    <row r="8">
      <c r="A8" s="22" t="inlineStr">
        <is>
          <t>Personnel Trained</t>
        </is>
      </c>
      <c r="B8" s="22">
        <f>IFERROR(INDEX(tbl_UnitPlans[Target_Monthly],MATCH("Personnel Trained",tbl_UnitPlans[KPI_Name],0)),"—")</f>
        <v/>
      </c>
      <c r="C8" s="23">
        <f>IFERROR(INDEX(tbl_UnitPlans[Actual_MTD],MATCH("Personnel Trained",tbl_UnitPlans[KPI_Name],0)),"—")</f>
        <v/>
      </c>
      <c r="D8" s="23">
        <f>IFERROR(INDEX(tbl_UnitPlans[Variance_Monthly],MATCH("Personnel Trained",tbl_UnitPlans[KPI_Name],0)),"—")</f>
        <v/>
      </c>
      <c r="E8" s="24">
        <f>IFERROR(INDEX(tbl_UnitPlans[Achievement_Pct_Monthly],MATCH("Personnel Trained",tbl_UnitPlans[KPI_Name],0)),"—")</f>
        <v/>
      </c>
      <c r="F8" s="23">
        <f>IFERROR(INDEX(tbl_UnitPlans[TrafficLight_Monthly],MATCH("Personnel Trained",tbl_UnitPlans[KPI_Name],0)),"—")</f>
        <v/>
      </c>
    </row>
    <row r="10">
      <c r="A10" s="20" t="inlineStr">
        <is>
          <t>QUICK STATISTICS</t>
        </is>
      </c>
    </row>
    <row r="11">
      <c r="A11" s="25" t="inlineStr">
        <is>
          <t>Sessions Held</t>
        </is>
      </c>
      <c r="B11" s="25" t="inlineStr">
        <is>
          <t>Total Attendees</t>
        </is>
      </c>
      <c r="C11" s="25" t="inlineStr">
        <is>
          <t>Total Hours</t>
        </is>
      </c>
      <c r="D11" s="25" t="inlineStr">
        <is>
          <t>Certificates Issued</t>
        </is>
      </c>
      <c r="E11" s="25" t="inlineStr">
        <is>
          <t>Total Cost (JMD)</t>
        </is>
      </c>
      <c r="F11" s="25" t="inlineStr">
        <is>
          <t>Avg Attendees/Session</t>
        </is>
      </c>
      <c r="G11" s="25" t="inlineStr">
        <is>
          <t>Training Overdue (Staff)</t>
        </is>
      </c>
      <c r="H11" s="25" t="inlineStr">
        <is>
          <t>Active Personnel</t>
        </is>
      </c>
    </row>
    <row r="12">
      <c r="A12" s="26">
        <f>COUNTA(tbl_Training[TrainingID])-COUNTBLANK(tbl_Training[TrainingID])</f>
        <v/>
      </c>
      <c r="B12" s="26">
        <f>SUM(tbl_Training[Attendees])</f>
        <v/>
      </c>
      <c r="C12" s="26">
        <f>SUM(tbl_Training[Duration_Hrs])</f>
        <v/>
      </c>
      <c r="D12" s="26">
        <f>COUNTIF(tbl_Training[CertificateIssued],"Yes")</f>
        <v/>
      </c>
      <c r="E12" s="26">
        <f>SUM(tbl_Training[CostJMD])</f>
        <v/>
      </c>
      <c r="F12" s="26">
        <f>IFERROR(AVERAGE(tbl_Training[Attendees]),"—")</f>
        <v/>
      </c>
      <c r="G12" s="26">
        <f>COUNTIFS(tbl_Personnel[NextTrainingDue],"&lt;"&amp;TODAY())</f>
        <v/>
      </c>
      <c r="H12" s="26">
        <f>COUNTIF(tbl_Personnel[Status],"Active")</f>
        <v/>
      </c>
    </row>
    <row r="17">
      <c r="A17" s="27" t="inlineStr">
        <is>
          <t>DATA ENTRY: 'tbl_Training' for course log | 'tbl_Personnel' for staff qualifications &amp; training due dates</t>
        </is>
      </c>
    </row>
  </sheetData>
  <mergeCells count="6">
    <mergeCell ref="A1:H1"/>
    <mergeCell ref="A3:H3"/>
    <mergeCell ref="A2:H2"/>
    <mergeCell ref="A10:H10"/>
    <mergeCell ref="A5:H5"/>
    <mergeCell ref="A17:H17"/>
  </mergeCells>
  <conditionalFormatting sqref="F7:F9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tabColor rgb="007030A0"/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ADMIN / HRM PORTAL</t>
        </is>
      </c>
    </row>
    <row r="2" ht="24" customHeight="1">
      <c r="A2" s="18" t="inlineStr">
        <is>
          <t>Personnel Management, Duty Roster, Leave &amp; Discipline</t>
        </is>
      </c>
    </row>
    <row r="3" ht="18" customHeight="1">
      <c r="A3" s="19" t="inlineStr">
        <is>
          <t>Unit: Admin/HRM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Personnel Strength</t>
        </is>
      </c>
      <c r="B7" s="22">
        <f>IFERROR(INDEX(tbl_UnitPlans[Target_Monthly],MATCH("Personnel Strength",tbl_UnitPlans[KPI_Name],0)),"—")</f>
        <v/>
      </c>
      <c r="C7" s="23">
        <f>IFERROR(INDEX(tbl_UnitPlans[Actual_MTD],MATCH("Personnel Strength",tbl_UnitPlans[KPI_Name],0)),"—")</f>
        <v/>
      </c>
      <c r="D7" s="23">
        <f>IFERROR(INDEX(tbl_UnitPlans[Variance_Monthly],MATCH("Personnel Strength",tbl_UnitPlans[KPI_Name],0)),"—")</f>
        <v/>
      </c>
      <c r="E7" s="24">
        <f>IFERROR(INDEX(tbl_UnitPlans[Achievement_Pct_Monthly],MATCH("Personnel Strength",tbl_UnitPlans[KPI_Name],0)),"—")</f>
        <v/>
      </c>
      <c r="F7" s="23">
        <f>IFERROR(INDEX(tbl_UnitPlans[TrafficLight_Monthly],MATCH("Personnel Strength",tbl_UnitPlans[KPI_Name],0)),"—")</f>
        <v/>
      </c>
    </row>
    <row r="8">
      <c r="A8" s="22" t="inlineStr">
        <is>
          <t>Vacancy Rate</t>
        </is>
      </c>
      <c r="B8" s="22">
        <f>IFERROR(INDEX(tbl_UnitPlans[Target_Monthly],MATCH("Vacancy Rate",tbl_UnitPlans[KPI_Name],0)),"—")</f>
        <v/>
      </c>
      <c r="C8" s="23">
        <f>IFERROR(INDEX(tbl_UnitPlans[Actual_MTD],MATCH("Vacancy Rate",tbl_UnitPlans[KPI_Name],0)),"—")</f>
        <v/>
      </c>
      <c r="D8" s="23">
        <f>IFERROR(INDEX(tbl_UnitPlans[Variance_Monthly],MATCH("Vacancy Rate",tbl_UnitPlans[KPI_Name],0)),"—")</f>
        <v/>
      </c>
      <c r="E8" s="24">
        <f>IFERROR(INDEX(tbl_UnitPlans[Achievement_Pct_Monthly],MATCH("Vacancy Rate",tbl_UnitPlans[KPI_Name],0)),"—")</f>
        <v/>
      </c>
      <c r="F8" s="23">
        <f>IFERROR(INDEX(tbl_UnitPlans[TrafficLight_Monthly],MATCH("Vacancy Rate",tbl_UnitPlans[KPI_Name],0)),"—")</f>
        <v/>
      </c>
    </row>
    <row r="10">
      <c r="A10" s="20" t="inlineStr">
        <is>
          <t>QUICK STATISTICS</t>
        </is>
      </c>
    </row>
    <row r="11">
      <c r="A11" s="25" t="inlineStr">
        <is>
          <t>Total Personnel</t>
        </is>
      </c>
      <c r="B11" s="25" t="inlineStr">
        <is>
          <t>Active</t>
        </is>
      </c>
      <c r="C11" s="25" t="inlineStr">
        <is>
          <t>On Leave</t>
        </is>
      </c>
      <c r="D11" s="25" t="inlineStr">
        <is>
          <t>Seconded</t>
        </is>
      </c>
      <c r="E11" s="25" t="inlineStr">
        <is>
          <t>Suspended</t>
        </is>
      </c>
      <c r="F11" s="25" t="inlineStr">
        <is>
          <t>Training Overdue</t>
        </is>
      </c>
      <c r="G11" s="25" t="inlineStr">
        <is>
          <t>Duty Entries</t>
        </is>
      </c>
      <c r="H11" s="25" t="inlineStr">
        <is>
          <t>Leave Records</t>
        </is>
      </c>
    </row>
    <row r="12">
      <c r="A12" s="26">
        <f>COUNTA(tbl_Personnel[PersonnelID])-COUNTBLANK(tbl_Personnel[PersonnelID])</f>
        <v/>
      </c>
      <c r="B12" s="26">
        <f>COUNTIF(tbl_Personnel[Status],"Active")</f>
        <v/>
      </c>
      <c r="C12" s="26">
        <f>COUNTIF(tbl_Personnel[Status],"On Leave")</f>
        <v/>
      </c>
      <c r="D12" s="26">
        <f>COUNTIF(tbl_Personnel[Status],"Seconded")</f>
        <v/>
      </c>
      <c r="E12" s="26">
        <f>COUNTIF(tbl_Personnel[Status],"Suspended")</f>
        <v/>
      </c>
      <c r="F12" s="26">
        <f>COUNTIFS(tbl_Personnel[NextTrainingDue],"&lt;"&amp;TODAY())</f>
        <v/>
      </c>
      <c r="G12" s="26">
        <f>COUNTA(tbl_DutyRoster[RosterID])-COUNTBLANK(tbl_DutyRoster[RosterID])</f>
        <v/>
      </c>
      <c r="H12" s="26">
        <f>COUNTA(tbl_LeaveManagement[LeaveID])-COUNTBLANK(tbl_LeaveManagement[LeaveID])</f>
        <v/>
      </c>
    </row>
    <row r="14">
      <c r="A14" s="25" t="inlineStr">
        <is>
          <t>Disciplinary Cases</t>
        </is>
      </c>
      <c r="B14" s="25" t="inlineStr">
        <is>
          <t>Pending Discipline</t>
        </is>
      </c>
      <c r="C14" s="25" t="inlineStr">
        <is>
          <t>Approved Leave</t>
        </is>
      </c>
      <c r="D14" s="25" t="inlineStr">
        <is>
          <t>Leave Pending</t>
        </is>
      </c>
    </row>
    <row r="15">
      <c r="A15" s="26">
        <f>COUNTA(tbl_Disciplinary[DisciplinaryID])-COUNTBLANK(tbl_Disciplinary[DisciplinaryID])</f>
        <v/>
      </c>
      <c r="B15" s="26">
        <f>COUNTIF(tbl_Disciplinary[Status],"Pending")</f>
        <v/>
      </c>
      <c r="C15" s="26">
        <f>COUNTIF(tbl_LeaveManagement[Status],"Approved")</f>
        <v/>
      </c>
      <c r="D15" s="26">
        <f>COUNTIF(tbl_LeaveManagement[Status],"Pending")</f>
        <v/>
      </c>
    </row>
    <row r="17">
      <c r="A17" s="27" t="inlineStr">
        <is>
          <t>DATA ENTRY: 'tbl_Personnel' for staff register | 'tbl_DutyRoster' for shifts | 'tbl_LeaveManagement' for leave | 'tbl_Disciplinary' for discipline cases</t>
        </is>
      </c>
    </row>
  </sheetData>
  <mergeCells count="6">
    <mergeCell ref="A1:H1"/>
    <mergeCell ref="A3:H3"/>
    <mergeCell ref="A2:H2"/>
    <mergeCell ref="A10:H10"/>
    <mergeCell ref="A5:H5"/>
    <mergeCell ref="A17:H17"/>
  </mergeCells>
  <conditionalFormatting sqref="F7:F9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tabColor rgb="00002060"/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42" customHeight="1">
      <c r="A1" s="17" t="inlineStr">
        <is>
          <t>FNID AREA 3 — OVERSIGHT PORTAL</t>
        </is>
      </c>
    </row>
    <row r="2" ht="24" customHeight="1">
      <c r="A2" s="18" t="inlineStr">
        <is>
          <t>Compliance, Governance, SOP Adherence, Risk &amp; Audit</t>
        </is>
      </c>
    </row>
    <row r="3" ht="18" customHeight="1">
      <c r="A3" s="19" t="inlineStr">
        <is>
          <t>Unit: Oversight  |  Generated: {=TODAY()}  |  FNID Area 3 Operational Workbook</t>
        </is>
      </c>
    </row>
    <row r="5">
      <c r="A5" s="20" t="inlineStr">
        <is>
          <t>KEY PERFORMANCE INDICATORS</t>
        </is>
      </c>
    </row>
    <row r="6">
      <c r="A6" s="21" t="inlineStr">
        <is>
          <t>KPI</t>
        </is>
      </c>
      <c r="B6" s="21" t="inlineStr">
        <is>
          <t>Target (Monthly)</t>
        </is>
      </c>
      <c r="C6" s="21" t="inlineStr">
        <is>
          <t>Actual (MTD)</t>
        </is>
      </c>
      <c r="D6" s="21" t="inlineStr">
        <is>
          <t>Variance</t>
        </is>
      </c>
      <c r="E6" s="21" t="inlineStr">
        <is>
          <t>Achievement %</t>
        </is>
      </c>
      <c r="F6" s="21" t="inlineStr">
        <is>
          <t>Status</t>
        </is>
      </c>
    </row>
    <row r="7">
      <c r="A7" s="22" t="inlineStr">
        <is>
          <t>Non-Conformities Identified</t>
        </is>
      </c>
      <c r="B7" s="22">
        <f>IFERROR(INDEX(tbl_UnitPlans[Target_Monthly],MATCH("Non-Conformities Identified",tbl_UnitPlans[KPI_Name],0)),"—")</f>
        <v/>
      </c>
      <c r="C7" s="23">
        <f>IFERROR(INDEX(tbl_UnitPlans[Actual_MTD],MATCH("Non-Conformities Identified",tbl_UnitPlans[KPI_Name],0)),"—")</f>
        <v/>
      </c>
      <c r="D7" s="23">
        <f>IFERROR(INDEX(tbl_UnitPlans[Variance_Monthly],MATCH("Non-Conformities Identified",tbl_UnitPlans[KPI_Name],0)),"—")</f>
        <v/>
      </c>
      <c r="E7" s="24">
        <f>IFERROR(INDEX(tbl_UnitPlans[Achievement_Pct_Monthly],MATCH("Non-Conformities Identified",tbl_UnitPlans[KPI_Name],0)),"—")</f>
        <v/>
      </c>
      <c r="F7" s="23">
        <f>IFERROR(INDEX(tbl_UnitPlans[TrafficLight_Monthly],MATCH("Non-Conformities Identified",tbl_UnitPlans[KPI_Name],0)),"—")</f>
        <v/>
      </c>
    </row>
    <row r="8">
      <c r="A8" s="22" t="inlineStr">
        <is>
          <t>Overdue Actions</t>
        </is>
      </c>
      <c r="B8" s="22">
        <f>IFERROR(INDEX(tbl_UnitPlans[Target_Monthly],MATCH("Overdue Actions",tbl_UnitPlans[KPI_Name],0)),"—")</f>
        <v/>
      </c>
      <c r="C8" s="23">
        <f>IFERROR(INDEX(tbl_UnitPlans[Actual_MTD],MATCH("Overdue Actions",tbl_UnitPlans[KPI_Name],0)),"—")</f>
        <v/>
      </c>
      <c r="D8" s="23">
        <f>IFERROR(INDEX(tbl_UnitPlans[Variance_Monthly],MATCH("Overdue Actions",tbl_UnitPlans[KPI_Name],0)),"—")</f>
        <v/>
      </c>
      <c r="E8" s="24">
        <f>IFERROR(INDEX(tbl_UnitPlans[Achievement_Pct_Monthly],MATCH("Overdue Actions",tbl_UnitPlans[KPI_Name],0)),"—")</f>
        <v/>
      </c>
      <c r="F8" s="23">
        <f>IFERROR(INDEX(tbl_UnitPlans[TrafficLight_Monthly],MATCH("Overdue Actions",tbl_UnitPlans[KPI_Name],0)),"—")</f>
        <v/>
      </c>
    </row>
    <row r="9">
      <c r="A9" s="22" t="inlineStr">
        <is>
          <t>KPIs Off Track</t>
        </is>
      </c>
      <c r="B9" s="22">
        <f>IFERROR(INDEX(tbl_UnitPlans[Target_Monthly],MATCH("KPIs Off Track",tbl_UnitPlans[KPI_Name],0)),"—")</f>
        <v/>
      </c>
      <c r="C9" s="23">
        <f>IFERROR(INDEX(tbl_UnitPlans[Actual_MTD],MATCH("KPIs Off Track",tbl_UnitPlans[KPI_Name],0)),"—")</f>
        <v/>
      </c>
      <c r="D9" s="23">
        <f>IFERROR(INDEX(tbl_UnitPlans[Variance_Monthly],MATCH("KPIs Off Track",tbl_UnitPlans[KPI_Name],0)),"—")</f>
        <v/>
      </c>
      <c r="E9" s="24">
        <f>IFERROR(INDEX(tbl_UnitPlans[Achievement_Pct_Monthly],MATCH("KPIs Off Track",tbl_UnitPlans[KPI_Name],0)),"—")</f>
        <v/>
      </c>
      <c r="F9" s="23">
        <f>IFERROR(INDEX(tbl_UnitPlans[TrafficLight_Monthly],MATCH("KPIs Off Track",tbl_UnitPlans[KPI_Name],0)),"—")</f>
        <v/>
      </c>
    </row>
    <row r="11">
      <c r="A11" s="20" t="inlineStr">
        <is>
          <t>QUICK STATISTICS</t>
        </is>
      </c>
    </row>
    <row r="12">
      <c r="A12" s="25" t="inlineStr">
        <is>
          <t>KPIs On Track</t>
        </is>
      </c>
      <c r="B12" s="25" t="inlineStr">
        <is>
          <t>KPIs At Risk</t>
        </is>
      </c>
      <c r="C12" s="25" t="inlineStr">
        <is>
          <t>KPIs Off Track</t>
        </is>
      </c>
      <c r="D12" s="25" t="inlineStr">
        <is>
          <t>CR Non-Compliant</t>
        </is>
      </c>
      <c r="E12" s="25" t="inlineStr">
        <is>
          <t>Overdue Actions</t>
        </is>
      </c>
      <c r="F12" s="25" t="inlineStr">
        <is>
          <t>Overdue Reviews</t>
        </is>
      </c>
      <c r="G12" s="25" t="inlineStr">
        <is>
          <t>Directives Overdue</t>
        </is>
      </c>
      <c r="H12" s="25" t="inlineStr">
        <is>
          <t>Files Incomplete</t>
        </is>
      </c>
    </row>
    <row r="13">
      <c r="A13" s="26">
        <f>COUNTIF(tbl_UnitPlans[TrafficLight_Monthly],"On Track")</f>
        <v/>
      </c>
      <c r="B13" s="26">
        <f>COUNTIF(tbl_UnitPlans[TrafficLight_Monthly],"At Risk")</f>
        <v/>
      </c>
      <c r="C13" s="26">
        <f>COUNTIF(tbl_UnitPlans[TrafficLight_Monthly],"Off Track")</f>
        <v/>
      </c>
      <c r="D13" s="26">
        <f>COUNTIF(tbl_Cases[ComplianceFlag],"Non-Compliant")</f>
        <v/>
      </c>
      <c r="E13" s="26">
        <f>COUNTIFS(tbl_Actions[DueDate],"&lt;"&amp;TODAY(),tbl_Actions[CompletedDate],"")</f>
        <v/>
      </c>
      <c r="F13" s="26">
        <f>COUNTIFS(tbl_Reviews[NextReviewDue],"&lt;"&amp;TODAY())</f>
        <v/>
      </c>
      <c r="G13" s="26">
        <f>COUNTIFS(tbl_Reviews[DirectiveDueDate],"&lt;"&amp;TODAY(),tbl_Reviews[DirectiveStatus],"&lt;&gt;Completed")</f>
        <v/>
      </c>
      <c r="H13" s="26">
        <f>COUNTIFS(tbl_Cases[FileCompletenessScore],"&lt;"&amp;0.5)</f>
        <v/>
      </c>
    </row>
    <row r="15">
      <c r="A15" s="25" t="inlineStr">
        <is>
          <t>48hr Charge Missed</t>
        </is>
      </c>
      <c r="B15" s="25" t="inlineStr">
        <is>
          <t>Warrants Expired</t>
        </is>
      </c>
      <c r="C15" s="25" t="inlineStr">
        <is>
          <t>Forensic Overdue</t>
        </is>
      </c>
      <c r="D15" s="25" t="inlineStr">
        <is>
          <t>Risk Items</t>
        </is>
      </c>
      <c r="E15" s="25" t="inlineStr">
        <is>
          <t>Victim Contact Overdue</t>
        </is>
      </c>
      <c r="F15" s="25" t="inlineStr">
        <is>
          <t>Summons Unserved</t>
        </is>
      </c>
      <c r="G15" s="25" t="inlineStr">
        <is>
          <t>Correspondence Pending</t>
        </is>
      </c>
      <c r="H15" s="25" t="inlineStr">
        <is>
          <t>Training Overdue</t>
        </is>
      </c>
    </row>
    <row r="16">
      <c r="A16" s="26">
        <f>COUNTIF(tbl_Cases[ChargeDeadlineMet],"No")</f>
        <v/>
      </c>
      <c r="B16" s="26">
        <f>COUNTIF(tbl_Warrants[Status],"Expired")</f>
        <v/>
      </c>
      <c r="C16" s="26">
        <f>COUNTIFS(tbl_Exhibits[ExpectedReturn],"&lt;"&amp;TODAY(),tbl_Exhibits[ActualReturnDate],"")</f>
        <v/>
      </c>
      <c r="D16" s="26">
        <f>COUNTA(tbl_RiskRegister[RiskID])-COUNTBLANK(tbl_RiskRegister[RiskID])</f>
        <v/>
      </c>
      <c r="E16" s="26">
        <f>COUNTIFS(tbl_VictimContact[NextScheduledContact],"&lt;"&amp;TODAY())</f>
        <v/>
      </c>
      <c r="F16" s="26">
        <f>COUNTIFS(tbl_Witnesses[SummonsIssued],"Yes",tbl_Witnesses[SummonsServed],"No")</f>
        <v/>
      </c>
      <c r="G16" s="26">
        <f>COUNTIF(tbl_Correspondence[Status],"Pending")</f>
        <v/>
      </c>
      <c r="H16" s="26">
        <f>COUNTIFS(tbl_Personnel[NextTrainingDue],"&lt;"&amp;TODAY())</f>
        <v/>
      </c>
    </row>
    <row r="21">
      <c r="A21" s="27" t="inlineStr">
        <is>
          <t>DATA ENTRY: 'tbl_RiskRegister' for organizational risks | 'tbl_Correspondence' for external comms | All SOP tables feed into this portal automatically</t>
        </is>
      </c>
    </row>
  </sheetData>
  <mergeCells count="6">
    <mergeCell ref="A1:H1"/>
    <mergeCell ref="A3:H3"/>
    <mergeCell ref="A21:H21"/>
    <mergeCell ref="A2:H2"/>
    <mergeCell ref="A11:H11"/>
    <mergeCell ref="A5:H5"/>
  </mergeCells>
  <conditionalFormatting sqref="F7:F10">
    <cfRule type="expression" priority="1" dxfId="2">
      <formula>=F7="On Track"</formula>
    </cfRule>
    <cfRule type="expression" priority="2" dxfId="1">
      <formula>=F7="At Risk"</formula>
    </cfRule>
    <cfRule type="expression" priority="3" dxfId="0">
      <formula>=F7="Off Track"</formula>
    </cfRule>
  </conditionalFormatting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tabColor rgb="00C00000"/>
    <outlinePr summaryBelow="1" summaryRight="1"/>
    <pageSetUpPr/>
  </sheetPr>
  <dimension ref="A1:AD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4" customWidth="1" min="7" max="7"/>
    <col width="16" customWidth="1" min="8" max="8"/>
    <col width="14" customWidth="1" min="9" max="9"/>
    <col width="18" customWidth="1" min="10" max="10"/>
    <col width="16" customWidth="1" min="11" max="11"/>
    <col width="12" customWidth="1" min="12" max="12"/>
    <col width="16" customWidth="1" min="13" max="13"/>
    <col width="28" customWidth="1" min="14" max="14"/>
    <col width="16" customWidth="1" min="15" max="15"/>
    <col width="20" customWidth="1" min="16" max="16"/>
    <col width="16" customWidth="1" min="17" max="17"/>
    <col width="20" customWidth="1" min="18" max="18"/>
    <col width="16" customWidth="1" min="19" max="19"/>
    <col width="14" customWidth="1" min="20" max="20"/>
    <col width="16" customWidth="1" min="21" max="21"/>
    <col width="20" customWidth="1" min="22" max="22"/>
    <col width="14" customWidth="1" min="23" max="23"/>
    <col width="14" customWidth="1" min="24" max="24"/>
    <col width="14" customWidth="1" min="25" max="25"/>
    <col width="24" customWidth="1" min="26" max="26"/>
    <col width="14" customWidth="1" min="27" max="27"/>
    <col width="14" customWidth="1" min="28" max="28"/>
    <col width="14" customWidth="1" min="29" max="29"/>
    <col width="14" customWidth="1" min="30" max="30"/>
  </cols>
  <sheetData>
    <row r="1">
      <c r="A1" s="13" t="inlineStr">
        <is>
          <t>TraceID</t>
        </is>
      </c>
      <c r="B1" s="13" t="inlineStr">
        <is>
          <t>LinkedCaseID</t>
        </is>
      </c>
      <c r="C1" s="13" t="inlineStr">
        <is>
          <t>LinkedExhibitID</t>
        </is>
      </c>
      <c r="D1" s="13" t="inlineStr">
        <is>
          <t>LinkedSeizureID</t>
        </is>
      </c>
      <c r="E1" s="13" t="inlineStr">
        <is>
          <t>FirearmMake</t>
        </is>
      </c>
      <c r="F1" s="13" t="inlineStr">
        <is>
          <t>FirearmModel</t>
        </is>
      </c>
      <c r="G1" s="13" t="inlineStr">
        <is>
          <t>FirearmCalibre</t>
        </is>
      </c>
      <c r="H1" s="13" t="inlineStr">
        <is>
          <t>SerialNumber</t>
        </is>
      </c>
      <c r="I1" s="13" t="inlineStr">
        <is>
          <t>TraceSubmitDate</t>
        </is>
      </c>
      <c r="J1" s="13" t="inlineStr">
        <is>
          <t>TracingAgency</t>
        </is>
      </c>
      <c r="K1" s="13" t="inlineStr">
        <is>
          <t>TraceType</t>
        </is>
      </c>
      <c r="L1" s="13" t="inlineStr">
        <is>
          <t>IBIS_Hit</t>
        </is>
      </c>
      <c r="M1" s="13" t="inlineStr">
        <is>
          <t>IBIS_MatchCaseID</t>
        </is>
      </c>
      <c r="N1" s="13" t="inlineStr">
        <is>
          <t>IBIS_MatchDetails</t>
        </is>
      </c>
      <c r="O1" s="13" t="inlineStr">
        <is>
          <t>ATF_TraceNumber</t>
        </is>
      </c>
      <c r="P1" s="13" t="inlineStr">
        <is>
          <t>ATF_Result</t>
        </is>
      </c>
      <c r="Q1" s="13" t="inlineStr">
        <is>
          <t>CountryOfOrigin</t>
        </is>
      </c>
      <c r="R1" s="13" t="inlineStr">
        <is>
          <t>ImportPath</t>
        </is>
      </c>
      <c r="S1" s="13" t="inlineStr">
        <is>
          <t>INTERPOL_Ref</t>
        </is>
      </c>
      <c r="T1" s="13" t="inlineStr">
        <is>
          <t>MatchToOtherScene</t>
        </is>
      </c>
      <c r="U1" s="13" t="inlineStr">
        <is>
          <t>MatchSceneCaseID</t>
        </is>
      </c>
      <c r="V1" s="13" t="inlineStr">
        <is>
          <t>BallisticExpertName</t>
        </is>
      </c>
      <c r="W1" s="13" t="inlineStr">
        <is>
          <t>ExpertReport</t>
        </is>
      </c>
      <c r="X1" s="13" t="inlineStr">
        <is>
          <t>ReportDate</t>
        </is>
      </c>
      <c r="Y1" s="13" t="inlineStr">
        <is>
          <t>Status</t>
        </is>
      </c>
      <c r="Z1" s="13" t="inlineStr">
        <is>
          <t>Notes</t>
        </is>
      </c>
      <c r="AA1" s="13" t="inlineStr">
        <is>
          <t>CreatedBy</t>
        </is>
      </c>
      <c r="AB1" s="13" t="inlineStr">
        <is>
          <t>CreatedDate</t>
        </is>
      </c>
      <c r="AC1" s="13" t="inlineStr">
        <is>
          <t>LastUpdatedBy</t>
        </is>
      </c>
      <c r="AD1" s="13" t="inlineStr">
        <is>
          <t>LastUpdatedDate</t>
        </is>
      </c>
    </row>
    <row r="2">
      <c r="A2" s="14">
        <f>IF(B2="","","BTRC-"&amp;TEXT(ROW()-1,"0000"))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</row>
    <row r="3">
      <c r="A3" s="14">
        <f>IF(B3="","","BTRC-"&amp;TEXT(ROW()-1,"0000"))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</row>
    <row r="4">
      <c r="A4" s="14">
        <f>IF(B4="","","BTRC-"&amp;TEXT(ROW()-1,"0000"))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</row>
    <row r="5">
      <c r="A5" s="14">
        <f>IF(B5="","","BTRC-"&amp;TEXT(ROW()-1,"0000"))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  <c r="AD5" s="14" t="n"/>
    </row>
    <row r="6">
      <c r="A6" s="14">
        <f>IF(B6="","","BTRC-"&amp;TEXT(ROW()-1,"0000"))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  <c r="AD6" s="14" t="n"/>
    </row>
  </sheetData>
  <conditionalFormatting sqref="L2:L1000">
    <cfRule type="expression" priority="1" dxfId="1">
      <formula>=L2="Yes"</formula>
    </cfRule>
  </conditionalFormatting>
  <dataValidations count="1">
    <dataValidation sqref="L2:L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1.xml><?xml version="1.0" encoding="utf-8"?>
<worksheet xmlns="http://schemas.openxmlformats.org/spreadsheetml/2006/main">
  <sheetPr>
    <tabColor rgb="00BF8F00"/>
    <outlinePr summaryBelow="1" summaryRight="1"/>
    <pageSetUpPr/>
  </sheetPr>
  <dimension ref="A1:X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16" customWidth="1" min="5" max="5"/>
    <col width="22" customWidth="1" min="6" max="6"/>
    <col width="16" customWidth="1" min="7" max="7"/>
    <col width="16" customWidth="1" min="8" max="8"/>
    <col width="14" customWidth="1" min="9" max="9"/>
    <col width="14" customWidth="1" min="10" max="10"/>
    <col width="12" customWidth="1" min="11" max="11"/>
    <col width="14" customWidth="1" min="12" max="12"/>
    <col width="12" customWidth="1" min="13" max="13"/>
    <col width="24" customWidth="1" min="14" max="14"/>
    <col width="14" customWidth="1" min="15" max="15"/>
    <col width="12" customWidth="1" min="16" max="16"/>
    <col width="12" customWidth="1" min="17" max="17"/>
    <col width="24" customWidth="1" min="18" max="18"/>
    <col width="14" customWidth="1" min="19" max="19"/>
    <col width="2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3" t="inlineStr">
        <is>
          <t>RecordID</t>
        </is>
      </c>
      <c r="B1" s="13" t="inlineStr">
        <is>
          <t>LinkedPersonID</t>
        </is>
      </c>
      <c r="C1" s="13" t="inlineStr">
        <is>
          <t>LinkedCaseID</t>
        </is>
      </c>
      <c r="D1" s="13" t="inlineStr">
        <is>
          <t>GangName</t>
        </is>
      </c>
      <c r="E1" s="13" t="inlineStr">
        <is>
          <t>GangAlias</t>
        </is>
      </c>
      <c r="F1" s="13" t="inlineStr">
        <is>
          <t>GangTerritory</t>
        </is>
      </c>
      <c r="G1" s="13" t="inlineStr">
        <is>
          <t>Parish</t>
        </is>
      </c>
      <c r="H1" s="13" t="inlineStr">
        <is>
          <t>RoleInGang</t>
        </is>
      </c>
      <c r="I1" s="13" t="inlineStr">
        <is>
          <t>RankInGang</t>
        </is>
      </c>
      <c r="J1" s="13" t="inlineStr">
        <is>
          <t>RecruitmentDate</t>
        </is>
      </c>
      <c r="K1" s="13" t="inlineStr">
        <is>
          <t>ActiveStatus</t>
        </is>
      </c>
      <c r="L1" s="13" t="inlineStr">
        <is>
          <t>ThreatLevel</t>
        </is>
      </c>
      <c r="M1" s="13" t="inlineStr">
        <is>
          <t>AssociatesCount</t>
        </is>
      </c>
      <c r="N1" s="13" t="inlineStr">
        <is>
          <t>LinkedGangMembers</t>
        </is>
      </c>
      <c r="O1" s="13" t="inlineStr">
        <is>
          <t>IntelSourceID</t>
        </is>
      </c>
      <c r="P1" s="13" t="inlineStr">
        <is>
          <t>FirearmsAssociated</t>
        </is>
      </c>
      <c r="Q1" s="13" t="inlineStr">
        <is>
          <t>NarcoticsAssociated</t>
        </is>
      </c>
      <c r="R1" s="13" t="inlineStr">
        <is>
          <t>LastKnownActivity</t>
        </is>
      </c>
      <c r="S1" s="13" t="inlineStr">
        <is>
          <t>LastActivityDate</t>
        </is>
      </c>
      <c r="T1" s="13" t="inlineStr">
        <is>
          <t>Notes</t>
        </is>
      </c>
      <c r="U1" s="13" t="inlineStr">
        <is>
          <t>CreatedBy</t>
        </is>
      </c>
      <c r="V1" s="13" t="inlineStr">
        <is>
          <t>CreatedDate</t>
        </is>
      </c>
      <c r="W1" s="13" t="inlineStr">
        <is>
          <t>LastUpdatedBy</t>
        </is>
      </c>
      <c r="X1" s="13" t="inlineStr">
        <is>
          <t>LastUpdatedDate</t>
        </is>
      </c>
    </row>
    <row r="2">
      <c r="A2" s="14">
        <f>IF(B2="","","GANG-"&amp;TEXT(ROW()-1,"0000"))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</row>
    <row r="3">
      <c r="A3" s="14">
        <f>IF(B3="","","GANG-"&amp;TEXT(ROW()-1,"0000"))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</row>
    <row r="4">
      <c r="A4" s="14">
        <f>IF(B4="","","GANG-"&amp;TEXT(ROW()-1,"0000"))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</row>
    <row r="5">
      <c r="A5" s="14">
        <f>IF(B5="","","GANG-"&amp;TEXT(ROW()-1,"0000"))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</row>
    <row r="6">
      <c r="A6" s="14">
        <f>IF(B6="","","GANG-"&amp;TEXT(ROW()-1,"0000"))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</row>
  </sheetData>
  <dataValidations count="3">
    <dataValidation sqref="G2:G1000" showDropDown="0" showInputMessage="0" showErrorMessage="0" allowBlank="1" errorTitle="Invalid Entry" error="Please select from the list." type="list">
      <formula1>=Lookups!$D$2:$D$16</formula1>
    </dataValidation>
    <dataValidation sqref="P2:P1000" showDropDown="0" showInputMessage="0" showErrorMessage="0" allowBlank="1" errorTitle="Invalid Entry" error="Please select from the list." type="list">
      <formula1>=Lookups!$I$2:$I$3</formula1>
    </dataValidation>
    <dataValidation sqref="Q2:Q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2.xml><?xml version="1.0" encoding="utf-8"?>
<worksheet xmlns="http://schemas.openxmlformats.org/spreadsheetml/2006/main">
  <sheetPr>
    <tabColor rgb="007030A0"/>
    <outlinePr summaryBelow="1" summaryRight="1"/>
    <pageSetUpPr/>
  </sheetPr>
  <dimension ref="A1:AA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0" customWidth="1" min="4" max="4"/>
    <col width="16" customWidth="1" min="5" max="5"/>
    <col width="20" customWidth="1" min="6" max="6"/>
    <col width="28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2" customWidth="1" min="13" max="13"/>
    <col width="18" customWidth="1" min="14" max="14"/>
    <col width="18" customWidth="1" min="15" max="15"/>
    <col width="14" customWidth="1" min="16" max="16"/>
    <col width="14" customWidth="1" min="17" max="17"/>
    <col width="14" customWidth="1" min="18" max="18"/>
    <col width="24" customWidth="1" min="19" max="19"/>
    <col width="14" customWidth="1" min="20" max="20"/>
    <col width="14" customWidth="1" min="21" max="21"/>
    <col width="14" customWidth="1" min="22" max="22"/>
    <col width="14" customWidth="1" min="23" max="23"/>
    <col width="8" customWidth="1" min="24" max="24"/>
    <col width="8" customWidth="1" min="25" max="25"/>
    <col width="8" customWidth="1" min="26" max="26"/>
    <col width="8" customWidth="1" min="27" max="27"/>
  </cols>
  <sheetData>
    <row r="1">
      <c r="A1" s="13" t="inlineStr">
        <is>
          <t>BudgetID</t>
        </is>
      </c>
      <c r="B1" s="13" t="inlineStr">
        <is>
          <t>FiscalYear</t>
        </is>
      </c>
      <c r="C1" s="13" t="inlineStr">
        <is>
          <t>Quarter</t>
        </is>
      </c>
      <c r="D1" s="13" t="inlineStr">
        <is>
          <t>Month</t>
        </is>
      </c>
      <c r="E1" s="13" t="inlineStr">
        <is>
          <t>Unit</t>
        </is>
      </c>
      <c r="F1" s="13" t="inlineStr">
        <is>
          <t>BudgetCategory</t>
        </is>
      </c>
      <c r="G1" s="13" t="inlineStr">
        <is>
          <t>Description</t>
        </is>
      </c>
      <c r="H1" s="13" t="inlineStr">
        <is>
          <t>AllocatedAmount</t>
        </is>
      </c>
      <c r="I1" s="13" t="inlineStr">
        <is>
          <t>SpentAmount</t>
        </is>
      </c>
      <c r="J1" s="13" t="inlineStr">
        <is>
          <t>CommittedAmount</t>
        </is>
      </c>
      <c r="K1" s="13" t="inlineStr">
        <is>
          <t>AvailableBalance</t>
        </is>
      </c>
      <c r="L1" s="13" t="inlineStr">
        <is>
          <t>Variance</t>
        </is>
      </c>
      <c r="M1" s="13" t="inlineStr">
        <is>
          <t>VariancePct</t>
        </is>
      </c>
      <c r="N1" s="13" t="inlineStr">
        <is>
          <t>FundingSource</t>
        </is>
      </c>
      <c r="O1" s="13" t="inlineStr">
        <is>
          <t>ApprovedBy</t>
        </is>
      </c>
      <c r="P1" s="13" t="inlineStr">
        <is>
          <t>ApprovalDate</t>
        </is>
      </c>
      <c r="Q1" s="13" t="inlineStr">
        <is>
          <t>LinkedOpsID</t>
        </is>
      </c>
      <c r="R1" s="13" t="inlineStr">
        <is>
          <t>LinkedTrainingID</t>
        </is>
      </c>
      <c r="S1" s="13" t="inlineStr">
        <is>
          <t>Notes</t>
        </is>
      </c>
      <c r="T1" s="13" t="inlineStr">
        <is>
          <t>CreatedBy</t>
        </is>
      </c>
      <c r="U1" s="13" t="inlineStr">
        <is>
          <t>CreatedDate</t>
        </is>
      </c>
      <c r="V1" s="13" t="inlineStr">
        <is>
          <t>LastUpdatedBy</t>
        </is>
      </c>
      <c r="W1" s="13" t="inlineStr">
        <is>
          <t>LastUpdatedDate</t>
        </is>
      </c>
      <c r="X1" s="13" t="inlineStr">
        <is>
          <t>Week</t>
        </is>
      </c>
      <c r="Y1" s="13" t="inlineStr">
        <is>
          <t>MonthNum</t>
        </is>
      </c>
      <c r="Z1" s="13" t="inlineStr">
        <is>
          <t>QuarterNum</t>
        </is>
      </c>
      <c r="AA1" s="13" t="inlineStr">
        <is>
          <t>Year</t>
        </is>
      </c>
    </row>
    <row r="2">
      <c r="A2" s="14">
        <f>IF(E2="","","BUD-"&amp;TEXT(ROW()-1,"0000"))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>
        <f>IF(OR(H2="",I2=""),"",H2-I2-J2)</f>
        <v/>
      </c>
      <c r="L2" s="14">
        <f>IF(OR(H2="",I2=""),"",I2-H2)</f>
        <v/>
      </c>
      <c r="M2" s="16">
        <f>IF(OR(H2="",H2=0),"",L2/H2)</f>
        <v/>
      </c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</row>
    <row r="3">
      <c r="A3" s="14">
        <f>IF(E3="","","BUD-"&amp;TEXT(ROW()-1,"0000"))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>
        <f>IF(OR(H3="",I3=""),"",H3-I3-J3)</f>
        <v/>
      </c>
      <c r="L3" s="14">
        <f>IF(OR(H3="",I3=""),"",I3-H3)</f>
        <v/>
      </c>
      <c r="M3" s="16">
        <f>IF(OR(H3="",H3=0),"",L3/H3)</f>
        <v/>
      </c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</row>
    <row r="4">
      <c r="A4" s="14">
        <f>IF(E4="","","BUD-"&amp;TEXT(ROW()-1,"0000"))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>
        <f>IF(OR(H4="",I4=""),"",H4-I4-J4)</f>
        <v/>
      </c>
      <c r="L4" s="14">
        <f>IF(OR(H4="",I4=""),"",I4-H4)</f>
        <v/>
      </c>
      <c r="M4" s="16">
        <f>IF(OR(H4="",H4=0),"",L4/H4)</f>
        <v/>
      </c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</row>
    <row r="5">
      <c r="A5" s="14">
        <f>IF(E5="","","BUD-"&amp;TEXT(ROW()-1,"0000"))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>
        <f>IF(OR(H5="",I5=""),"",H5-I5-J5)</f>
        <v/>
      </c>
      <c r="L5" s="14">
        <f>IF(OR(H5="",I5=""),"",I5-H5)</f>
        <v/>
      </c>
      <c r="M5" s="16">
        <f>IF(OR(H5="",H5=0),"",L5/H5)</f>
        <v/>
      </c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</row>
    <row r="6">
      <c r="A6" s="14">
        <f>IF(E6="","","BUD-"&amp;TEXT(ROW()-1,"0000"))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>
        <f>IF(OR(H6="",I6=""),"",H6-I6-J6)</f>
        <v/>
      </c>
      <c r="L6" s="14">
        <f>IF(OR(H6="",I6=""),"",I6-H6)</f>
        <v/>
      </c>
      <c r="M6" s="16">
        <f>IF(OR(H6="",H6=0),"",L6/H6)</f>
        <v/>
      </c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</row>
  </sheetData>
  <conditionalFormatting sqref="M2:M1000">
    <cfRule type="expression" priority="1" dxfId="0">
      <formula>=AND(M2&lt;&gt;"",M2&gt;0.1)</formula>
    </cfRule>
  </conditionalFormatting>
  <dataValidations count="2">
    <dataValidation sqref="E2:E1000" showDropDown="0" showInputMessage="0" showErrorMessage="0" allowBlank="1" errorTitle="Invalid Entry" error="Please select from the list." type="list">
      <formula1>=Lookups!$E$2:$E$11</formula1>
    </dataValidation>
    <dataValidation sqref="F2:F1000" showDropDown="0" showInputMessage="0" showErrorMessage="0" allowBlank="1" errorTitle="Invalid Entry" error="Please select from the list." type="list">
      <formula1>=Lookups!$AY$2:$AY$9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3.xml><?xml version="1.0" encoding="utf-8"?>
<worksheet xmlns="http://schemas.openxmlformats.org/spreadsheetml/2006/main">
  <sheetPr>
    <tabColor rgb="007030A0"/>
    <outlinePr summaryBelow="1" summaryRight="1"/>
    <pageSetUpPr/>
  </sheetPr>
  <dimension ref="A1:V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  <col width="12" customWidth="1" min="9" max="9"/>
    <col width="12" customWidth="1" min="10" max="10"/>
    <col width="14" customWidth="1" min="11" max="11"/>
    <col width="18" customWidth="1" min="12" max="12"/>
    <col width="14" customWidth="1" min="13" max="13"/>
    <col width="18" customWidth="1" min="14" max="14"/>
    <col width="12" customWidth="1" min="15" max="15"/>
    <col width="14" customWidth="1" min="16" max="16"/>
    <col width="12" customWidth="1" min="17" max="17"/>
    <col width="12" customWidth="1" min="18" max="18"/>
    <col width="12" customWidth="1" min="19" max="19"/>
    <col width="24" customWidth="1" min="20" max="20"/>
    <col width="14" customWidth="1" min="21" max="21"/>
    <col width="14" customWidth="1" min="22" max="22"/>
  </cols>
  <sheetData>
    <row r="1">
      <c r="A1" s="13" t="inlineStr">
        <is>
          <t>LeaveID</t>
        </is>
      </c>
      <c r="B1" s="13" t="inlineStr">
        <is>
          <t>PersonnelID</t>
        </is>
      </c>
      <c r="C1" s="13" t="inlineStr">
        <is>
          <t>OfficerName</t>
        </is>
      </c>
      <c r="D1" s="13" t="inlineStr">
        <is>
          <t>Rank</t>
        </is>
      </c>
      <c r="E1" s="13" t="inlineStr">
        <is>
          <t>Unit</t>
        </is>
      </c>
      <c r="F1" s="13" t="inlineStr">
        <is>
          <t>LeaveType</t>
        </is>
      </c>
      <c r="G1" s="13" t="inlineStr">
        <is>
          <t>StartDate</t>
        </is>
      </c>
      <c r="H1" s="13" t="inlineStr">
        <is>
          <t>EndDate</t>
        </is>
      </c>
      <c r="I1" s="13" t="inlineStr">
        <is>
          <t>DaysRequested</t>
        </is>
      </c>
      <c r="J1" s="13" t="inlineStr">
        <is>
          <t>DaysApproved</t>
        </is>
      </c>
      <c r="K1" s="13" t="inlineStr">
        <is>
          <t>Status</t>
        </is>
      </c>
      <c r="L1" s="13" t="inlineStr">
        <is>
          <t>ApprovedBy</t>
        </is>
      </c>
      <c r="M1" s="13" t="inlineStr">
        <is>
          <t>ApprovalDate</t>
        </is>
      </c>
      <c r="N1" s="13" t="inlineStr">
        <is>
          <t>ReliefOfficer</t>
        </is>
      </c>
      <c r="O1" s="13" t="inlineStr">
        <is>
          <t>HandoverDone</t>
        </is>
      </c>
      <c r="P1" s="13" t="inlineStr">
        <is>
          <t>ReturnDate</t>
        </is>
      </c>
      <c r="Q1" s="13" t="inlineStr">
        <is>
          <t>ReturnOnTime</t>
        </is>
      </c>
      <c r="R1" s="13" t="inlineStr">
        <is>
          <t>AnnualBalance</t>
        </is>
      </c>
      <c r="S1" s="13" t="inlineStr">
        <is>
          <t>SickBalance</t>
        </is>
      </c>
      <c r="T1" s="13" t="inlineStr">
        <is>
          <t>Notes</t>
        </is>
      </c>
      <c r="U1" s="13" t="inlineStr">
        <is>
          <t>CreatedBy</t>
        </is>
      </c>
      <c r="V1" s="13" t="inlineStr">
        <is>
          <t>CreatedDate</t>
        </is>
      </c>
    </row>
    <row r="2">
      <c r="A2" s="14">
        <f>IF(C2="","","LV-"&amp;TEXT(ROW()-1,"0000"))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>
        <f>IF(OR(G2="",H2=""),"",NETWORKDAYS(G2,H2))</f>
        <v/>
      </c>
      <c r="J2" s="14" t="n"/>
      <c r="K2" s="14" t="n"/>
      <c r="L2" s="14" t="n"/>
      <c r="M2" s="14" t="n"/>
      <c r="N2" s="14" t="n"/>
      <c r="O2" s="14" t="n"/>
      <c r="P2" s="14" t="n"/>
      <c r="Q2" s="14">
        <f>IF(OR(H2="",P2=""),"",IF(P2&lt;=H2,"Yes","No"))</f>
        <v/>
      </c>
      <c r="R2" s="14" t="n"/>
      <c r="S2" s="14" t="n"/>
      <c r="T2" s="14" t="n"/>
      <c r="U2" s="14" t="n"/>
      <c r="V2" s="14" t="n"/>
    </row>
    <row r="3">
      <c r="A3" s="14">
        <f>IF(C3="","","LV-"&amp;TEXT(ROW()-1,"0000"))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>
        <f>IF(OR(G3="",H3=""),"",NETWORKDAYS(G3,H3))</f>
        <v/>
      </c>
      <c r="J3" s="14" t="n"/>
      <c r="K3" s="14" t="n"/>
      <c r="L3" s="14" t="n"/>
      <c r="M3" s="14" t="n"/>
      <c r="N3" s="14" t="n"/>
      <c r="O3" s="14" t="n"/>
      <c r="P3" s="14" t="n"/>
      <c r="Q3" s="14">
        <f>IF(OR(H3="",P3=""),"",IF(P3&lt;=H3,"Yes","No"))</f>
        <v/>
      </c>
      <c r="R3" s="14" t="n"/>
      <c r="S3" s="14" t="n"/>
      <c r="T3" s="14" t="n"/>
      <c r="U3" s="14" t="n"/>
      <c r="V3" s="14" t="n"/>
    </row>
    <row r="4">
      <c r="A4" s="14">
        <f>IF(C4="","","LV-"&amp;TEXT(ROW()-1,"0000"))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>
        <f>IF(OR(G4="",H4=""),"",NETWORKDAYS(G4,H4))</f>
        <v/>
      </c>
      <c r="J4" s="14" t="n"/>
      <c r="K4" s="14" t="n"/>
      <c r="L4" s="14" t="n"/>
      <c r="M4" s="14" t="n"/>
      <c r="N4" s="14" t="n"/>
      <c r="O4" s="14" t="n"/>
      <c r="P4" s="14" t="n"/>
      <c r="Q4" s="14">
        <f>IF(OR(H4="",P4=""),"",IF(P4&lt;=H4,"Yes","No"))</f>
        <v/>
      </c>
      <c r="R4" s="14" t="n"/>
      <c r="S4" s="14" t="n"/>
      <c r="T4" s="14" t="n"/>
      <c r="U4" s="14" t="n"/>
      <c r="V4" s="14" t="n"/>
    </row>
    <row r="5">
      <c r="A5" s="14">
        <f>IF(C5="","","LV-"&amp;TEXT(ROW()-1,"0000"))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>
        <f>IF(OR(G5="",H5=""),"",NETWORKDAYS(G5,H5))</f>
        <v/>
      </c>
      <c r="J5" s="14" t="n"/>
      <c r="K5" s="14" t="n"/>
      <c r="L5" s="14" t="n"/>
      <c r="M5" s="14" t="n"/>
      <c r="N5" s="14" t="n"/>
      <c r="O5" s="14" t="n"/>
      <c r="P5" s="14" t="n"/>
      <c r="Q5" s="14">
        <f>IF(OR(H5="",P5=""),"",IF(P5&lt;=H5,"Yes","No"))</f>
        <v/>
      </c>
      <c r="R5" s="14" t="n"/>
      <c r="S5" s="14" t="n"/>
      <c r="T5" s="14" t="n"/>
      <c r="U5" s="14" t="n"/>
      <c r="V5" s="14" t="n"/>
    </row>
    <row r="6">
      <c r="A6" s="14">
        <f>IF(C6="","","LV-"&amp;TEXT(ROW()-1,"0000"))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>
        <f>IF(OR(G6="",H6=""),"",NETWORKDAYS(G6,H6))</f>
        <v/>
      </c>
      <c r="J6" s="14" t="n"/>
      <c r="K6" s="14" t="n"/>
      <c r="L6" s="14" t="n"/>
      <c r="M6" s="14" t="n"/>
      <c r="N6" s="14" t="n"/>
      <c r="O6" s="14" t="n"/>
      <c r="P6" s="14" t="n"/>
      <c r="Q6" s="14">
        <f>IF(OR(H6="",P6=""),"",IF(P6&lt;=H6,"Yes","No"))</f>
        <v/>
      </c>
      <c r="R6" s="14" t="n"/>
      <c r="S6" s="14" t="n"/>
      <c r="T6" s="14" t="n"/>
      <c r="U6" s="14" t="n"/>
      <c r="V6" s="14" t="n"/>
    </row>
  </sheetData>
  <dataValidations count="4">
    <dataValidation sqref="E2:E1000" showDropDown="0" showInputMessage="0" showErrorMessage="0" allowBlank="1" errorTitle="Invalid Entry" error="Please select from the list." type="list">
      <formula1>=Lookups!$E$2:$E$11</formula1>
    </dataValidation>
    <dataValidation sqref="O2:O1000" showDropDown="0" showInputMessage="0" showErrorMessage="0" allowBlank="1" errorTitle="Invalid Entry" error="Please select from the list." type="list">
      <formula1>=Lookups!$I$2:$I$3</formula1>
    </dataValidation>
    <dataValidation sqref="F2:F1000" showDropDown="0" showInputMessage="0" showErrorMessage="0" allowBlank="1" errorTitle="Invalid Entry" error="Please select from the list." type="list">
      <formula1>=Lookups!$AQ$2:$AQ$9</formula1>
    </dataValidation>
    <dataValidation sqref="K2:K1000" showDropDown="0" showInputMessage="0" showErrorMessage="0" allowBlank="1" errorTitle="Invalid Entry" error="Please select from the list." type="list">
      <formula1>=Lookups!$AR$2:$AR$7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4.xml><?xml version="1.0" encoding="utf-8"?>
<worksheet xmlns="http://schemas.openxmlformats.org/spreadsheetml/2006/main">
  <sheetPr>
    <tabColor rgb="007030A0"/>
    <outlinePr summaryBelow="1" summaryRight="1"/>
    <pageSetUpPr/>
  </sheetPr>
  <dimension ref="A1:AC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18" customWidth="1" min="10" max="10"/>
    <col width="30" customWidth="1" min="11" max="11"/>
    <col width="18" customWidth="1" min="12" max="12"/>
    <col width="14" customWidth="1" min="13" max="13"/>
    <col width="14" customWidth="1" min="14" max="14"/>
    <col width="30" customWidth="1" min="15" max="15"/>
    <col width="24" customWidth="1" min="16" max="16"/>
    <col width="20" customWidth="1" min="17" max="17"/>
    <col width="14" customWidth="1" min="18" max="18"/>
    <col width="20" customWidth="1" min="19" max="19"/>
    <col width="20" customWidth="1" min="20" max="20"/>
    <col width="12" customWidth="1" min="21" max="21"/>
    <col width="14" customWidth="1" min="22" max="22"/>
    <col width="20" customWidth="1" min="23" max="23"/>
    <col width="14" customWidth="1" min="24" max="24"/>
    <col width="24" customWidth="1" min="25" max="25"/>
    <col width="14" customWidth="1" min="26" max="26"/>
    <col width="14" customWidth="1" min="27" max="27"/>
    <col width="14" customWidth="1" min="28" max="28"/>
    <col width="14" customWidth="1" min="29" max="29"/>
  </cols>
  <sheetData>
    <row r="1">
      <c r="A1" s="13" t="inlineStr">
        <is>
          <t>DisciplinaryID</t>
        </is>
      </c>
      <c r="B1" s="13" t="inlineStr">
        <is>
          <t>PersonnelID</t>
        </is>
      </c>
      <c r="C1" s="13" t="inlineStr">
        <is>
          <t>OfficerName</t>
        </is>
      </c>
      <c r="D1" s="13" t="inlineStr">
        <is>
          <t>Rank</t>
        </is>
      </c>
      <c r="E1" s="13" t="inlineStr">
        <is>
          <t>Unit</t>
        </is>
      </c>
      <c r="F1" s="13" t="inlineStr">
        <is>
          <t>BadgeNo</t>
        </is>
      </c>
      <c r="G1" s="13" t="inlineStr">
        <is>
          <t>IncidentDate</t>
        </is>
      </c>
      <c r="H1" s="13" t="inlineStr">
        <is>
          <t>ReportDate</t>
        </is>
      </c>
      <c r="I1" s="13" t="inlineStr">
        <is>
          <t>ReportedBy</t>
        </is>
      </c>
      <c r="J1" s="13" t="inlineStr">
        <is>
          <t>AllegationType</t>
        </is>
      </c>
      <c r="K1" s="13" t="inlineStr">
        <is>
          <t>AllegationDescription</t>
        </is>
      </c>
      <c r="L1" s="13" t="inlineStr">
        <is>
          <t>InvestigatingOfficer</t>
        </is>
      </c>
      <c r="M1" s="13" t="inlineStr">
        <is>
          <t>InvestigationStartDate</t>
        </is>
      </c>
      <c r="N1" s="13" t="inlineStr">
        <is>
          <t>InvestigationEndDate</t>
        </is>
      </c>
      <c r="O1" s="13" t="inlineStr">
        <is>
          <t>Findings</t>
        </is>
      </c>
      <c r="P1" s="13" t="inlineStr">
        <is>
          <t>Recommendation</t>
        </is>
      </c>
      <c r="Q1" s="13" t="inlineStr">
        <is>
          <t>Sanction</t>
        </is>
      </c>
      <c r="R1" s="13" t="inlineStr">
        <is>
          <t>HearingDate</t>
        </is>
      </c>
      <c r="S1" s="13" t="inlineStr">
        <is>
          <t>HearingPanel</t>
        </is>
      </c>
      <c r="T1" s="13" t="inlineStr">
        <is>
          <t>Outcome</t>
        </is>
      </c>
      <c r="U1" s="13" t="inlineStr">
        <is>
          <t>AppealFiled</t>
        </is>
      </c>
      <c r="V1" s="13" t="inlineStr">
        <is>
          <t>AppealDate</t>
        </is>
      </c>
      <c r="W1" s="13" t="inlineStr">
        <is>
          <t>AppealOutcome</t>
        </is>
      </c>
      <c r="X1" s="13" t="inlineStr">
        <is>
          <t>Status</t>
        </is>
      </c>
      <c r="Y1" s="13" t="inlineStr">
        <is>
          <t>Notes</t>
        </is>
      </c>
      <c r="Z1" s="13" t="inlineStr">
        <is>
          <t>CreatedBy</t>
        </is>
      </c>
      <c r="AA1" s="13" t="inlineStr">
        <is>
          <t>CreatedDate</t>
        </is>
      </c>
      <c r="AB1" s="13" t="inlineStr">
        <is>
          <t>LastUpdatedBy</t>
        </is>
      </c>
      <c r="AC1" s="13" t="inlineStr">
        <is>
          <t>LastUpdatedDate</t>
        </is>
      </c>
    </row>
    <row r="2">
      <c r="A2" s="14">
        <f>IF(C2="","","DISC-"&amp;TEXT(ROW()-1,"0000"))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</row>
    <row r="3">
      <c r="A3" s="14">
        <f>IF(C3="","","DISC-"&amp;TEXT(ROW()-1,"0000"))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</row>
    <row r="4">
      <c r="A4" s="14">
        <f>IF(C4="","","DISC-"&amp;TEXT(ROW()-1,"0000"))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</row>
    <row r="5">
      <c r="A5" s="14">
        <f>IF(C5="","","DISC-"&amp;TEXT(ROW()-1,"0000"))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</row>
    <row r="6">
      <c r="A6" s="14">
        <f>IF(C6="","","DISC-"&amp;TEXT(ROW()-1,"0000"))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</row>
  </sheetData>
  <dataValidations count="4">
    <dataValidation sqref="E2:E1000" showDropDown="0" showInputMessage="0" showErrorMessage="0" allowBlank="1" errorTitle="Invalid Entry" error="Please select from the list." type="list">
      <formula1>=Lookups!$E$2:$E$11</formula1>
    </dataValidation>
    <dataValidation sqref="U2:U1000" showDropDown="0" showInputMessage="0" showErrorMessage="0" allowBlank="1" errorTitle="Invalid Entry" error="Please select from the list." type="list">
      <formula1>=Lookups!$I$2:$I$3</formula1>
    </dataValidation>
    <dataValidation sqref="X2:X1000" showDropDown="0" showInputMessage="0" showErrorMessage="0" allowBlank="1" errorTitle="Invalid Entry" error="Please select from the list." type="list">
      <formula1>=Lookups!$AW$2:$AW$8</formula1>
    </dataValidation>
    <dataValidation sqref="J2:J1000" showDropDown="0" showInputMessage="0" showErrorMessage="0" allowBlank="1" errorTitle="Invalid Entry" error="Please select from the list." type="list">
      <formula1>=Lookups!$AV$2:$AV$10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5.xml><?xml version="1.0" encoding="utf-8"?>
<worksheet xmlns="http://schemas.openxmlformats.org/spreadsheetml/2006/main">
  <sheetPr>
    <tabColor rgb="00808080"/>
    <outlinePr summaryBelow="1" summaryRight="1"/>
    <pageSetUpPr/>
  </sheetPr>
  <dimension ref="A1:U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2" customWidth="1" min="4" max="4"/>
    <col width="20" customWidth="1" min="5" max="5"/>
    <col width="20" customWidth="1" min="6" max="6"/>
    <col width="20" customWidth="1" min="7" max="7"/>
    <col width="24" customWidth="1" min="8" max="8"/>
    <col width="14" customWidth="1" min="9" max="9"/>
    <col width="16" customWidth="1" min="10" max="10"/>
    <col width="30" customWidth="1" min="11" max="11"/>
    <col width="12" customWidth="1" min="12" max="12"/>
    <col width="14" customWidth="1" min="13" max="13"/>
    <col width="14" customWidth="1" min="14" max="14"/>
    <col width="14" customWidth="1" min="15" max="15"/>
    <col width="12" customWidth="1" min="16" max="16"/>
    <col width="14" customWidth="1" min="17" max="17"/>
    <col width="16" customWidth="1" min="18" max="18"/>
    <col width="24" customWidth="1" min="19" max="19"/>
    <col width="14" customWidth="1" min="20" max="20"/>
    <col width="14" customWidth="1" min="21" max="21"/>
  </cols>
  <sheetData>
    <row r="1">
      <c r="A1" s="13" t="inlineStr">
        <is>
          <t>CorrespondenceID</t>
        </is>
      </c>
      <c r="B1" s="13" t="inlineStr">
        <is>
          <t>LinkedCaseID</t>
        </is>
      </c>
      <c r="C1" s="13" t="inlineStr">
        <is>
          <t>Date</t>
        </is>
      </c>
      <c r="D1" s="13" t="inlineStr">
        <is>
          <t>Direction</t>
        </is>
      </c>
      <c r="E1" s="13" t="inlineStr">
        <is>
          <t>From</t>
        </is>
      </c>
      <c r="F1" s="13" t="inlineStr">
        <is>
          <t>To</t>
        </is>
      </c>
      <c r="G1" s="13" t="inlineStr">
        <is>
          <t>Agency</t>
        </is>
      </c>
      <c r="H1" s="13" t="inlineStr">
        <is>
          <t>Subject</t>
        </is>
      </c>
      <c r="I1" s="13" t="inlineStr">
        <is>
          <t>Method</t>
        </is>
      </c>
      <c r="J1" s="13" t="inlineStr">
        <is>
          <t>ReferenceNo</t>
        </is>
      </c>
      <c r="K1" s="13" t="inlineStr">
        <is>
          <t>Summary</t>
        </is>
      </c>
      <c r="L1" s="13" t="inlineStr">
        <is>
          <t>ResponseRequired</t>
        </is>
      </c>
      <c r="M1" s="13" t="inlineStr">
        <is>
          <t>ResponseDueDate</t>
        </is>
      </c>
      <c r="N1" s="13" t="inlineStr">
        <is>
          <t>ResponseDate</t>
        </is>
      </c>
      <c r="O1" s="13" t="inlineStr">
        <is>
          <t>Status</t>
        </is>
      </c>
      <c r="P1" s="13" t="inlineStr">
        <is>
          <t>Priority</t>
        </is>
      </c>
      <c r="Q1" s="13" t="inlineStr">
        <is>
          <t>Attachments</t>
        </is>
      </c>
      <c r="R1" s="13" t="inlineStr">
        <is>
          <t>FiledLocation</t>
        </is>
      </c>
      <c r="S1" s="13" t="inlineStr">
        <is>
          <t>Notes</t>
        </is>
      </c>
      <c r="T1" s="13" t="inlineStr">
        <is>
          <t>CreatedBy</t>
        </is>
      </c>
      <c r="U1" s="13" t="inlineStr">
        <is>
          <t>CreatedDate</t>
        </is>
      </c>
    </row>
    <row r="2">
      <c r="A2" s="14">
        <f>IF(D2="","","CORR-"&amp;TEXT(ROW()-1,"0000"))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</row>
    <row r="3">
      <c r="A3" s="14">
        <f>IF(D3="","","CORR-"&amp;TEXT(ROW()-1,"0000"))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</row>
    <row r="4">
      <c r="A4" s="14">
        <f>IF(D4="","","CORR-"&amp;TEXT(ROW()-1,"0000"))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</row>
    <row r="5">
      <c r="A5" s="14">
        <f>IF(D5="","","CORR-"&amp;TEXT(ROW()-1,"0000"))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</row>
    <row r="6">
      <c r="A6" s="14">
        <f>IF(D6="","","CORR-"&amp;TEXT(ROW()-1,"0000"))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</row>
  </sheetData>
  <conditionalFormatting sqref="M2:M1000">
    <cfRule type="expression" priority="1" dxfId="0">
      <formula>=AND(M2&lt;&gt;"",M2&lt;TODAY(),N2="")</formula>
    </cfRule>
  </conditionalFormatting>
  <dataValidations count="3">
    <dataValidation sqref="L2:L1000" showDropDown="0" showInputMessage="0" showErrorMessage="0" allowBlank="1" errorTitle="Invalid Entry" error="Please select from the list." type="list">
      <formula1>=Lookups!$I$2:$I$3</formula1>
    </dataValidation>
    <dataValidation sqref="D2:D1000" showDropDown="0" showInputMessage="0" showErrorMessage="0" allowBlank="1" errorTitle="Invalid Entry" error="Please select from the list." type="list">
      <formula1>=Lookups!$AT$2:$AT$3</formula1>
    </dataValidation>
    <dataValidation sqref="O2:O1000" showDropDown="0" showInputMessage="0" showErrorMessage="0" allowBlank="1" errorTitle="Invalid Entry" error="Please select from the list." type="list">
      <formula1>=Lookups!$AU$2:$AU$7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6.xml><?xml version="1.0" encoding="utf-8"?>
<worksheet xmlns="http://schemas.openxmlformats.org/spreadsheetml/2006/main">
  <sheetPr>
    <tabColor rgb="00002060"/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30" customWidth="1" min="3" max="3"/>
    <col width="14" customWidth="1" min="4" max="4"/>
    <col width="12" customWidth="1" min="5" max="5"/>
    <col width="12" customWidth="1" min="6" max="6"/>
    <col width="12" customWidth="1" min="7" max="7"/>
    <col width="14" customWidth="1" min="8" max="8"/>
    <col width="28" customWidth="1" min="9" max="9"/>
    <col width="16" customWidth="1" min="10" max="10"/>
    <col width="30" customWidth="1" min="11" max="11"/>
    <col width="18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2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3" t="inlineStr">
        <is>
          <t>RiskID</t>
        </is>
      </c>
      <c r="B1" s="13" t="inlineStr">
        <is>
          <t>RiskCategory</t>
        </is>
      </c>
      <c r="C1" s="13" t="inlineStr">
        <is>
          <t>RiskDescription</t>
        </is>
      </c>
      <c r="D1" s="13" t="inlineStr">
        <is>
          <t>Unit</t>
        </is>
      </c>
      <c r="E1" s="13" t="inlineStr">
        <is>
          <t>Likelihood</t>
        </is>
      </c>
      <c r="F1" s="13" t="inlineStr">
        <is>
          <t>Impact</t>
        </is>
      </c>
      <c r="G1" s="13" t="inlineStr">
        <is>
          <t>RiskScore</t>
        </is>
      </c>
      <c r="H1" s="13" t="inlineStr">
        <is>
          <t>RiskRating</t>
        </is>
      </c>
      <c r="I1" s="13" t="inlineStr">
        <is>
          <t>ExistingControls</t>
        </is>
      </c>
      <c r="J1" s="13" t="inlineStr">
        <is>
          <t>ControlEffectiveness</t>
        </is>
      </c>
      <c r="K1" s="13" t="inlineStr">
        <is>
          <t>MitigationPlan</t>
        </is>
      </c>
      <c r="L1" s="13" t="inlineStr">
        <is>
          <t>MitigationOwner</t>
        </is>
      </c>
      <c r="M1" s="13" t="inlineStr">
        <is>
          <t>MitigationDueDate</t>
        </is>
      </c>
      <c r="N1" s="13" t="inlineStr">
        <is>
          <t>ResidualLikelihood</t>
        </is>
      </c>
      <c r="O1" s="13" t="inlineStr">
        <is>
          <t>ResidualImpact</t>
        </is>
      </c>
      <c r="P1" s="13" t="inlineStr">
        <is>
          <t>ResidualScore</t>
        </is>
      </c>
      <c r="Q1" s="13" t="inlineStr">
        <is>
          <t>ResidualRating</t>
        </is>
      </c>
      <c r="R1" s="13" t="inlineStr">
        <is>
          <t>Status</t>
        </is>
      </c>
      <c r="S1" s="13" t="inlineStr">
        <is>
          <t>LastReviewDate</t>
        </is>
      </c>
      <c r="T1" s="13" t="inlineStr">
        <is>
          <t>NextReviewDate</t>
        </is>
      </c>
      <c r="U1" s="13" t="inlineStr">
        <is>
          <t>Notes</t>
        </is>
      </c>
      <c r="V1" s="13" t="inlineStr">
        <is>
          <t>CreatedBy</t>
        </is>
      </c>
      <c r="W1" s="13" t="inlineStr">
        <is>
          <t>CreatedDate</t>
        </is>
      </c>
      <c r="X1" s="13" t="inlineStr">
        <is>
          <t>LastUpdatedBy</t>
        </is>
      </c>
      <c r="Y1" s="13" t="inlineStr">
        <is>
          <t>LastUpdatedDate</t>
        </is>
      </c>
    </row>
    <row r="2">
      <c r="A2" s="14">
        <f>IF(C2="","","RISK-"&amp;TEXT(ROW()-1,"0000"))</f>
        <v/>
      </c>
      <c r="B2" s="14" t="n"/>
      <c r="C2" s="14" t="n"/>
      <c r="D2" s="14" t="n"/>
      <c r="E2" s="14" t="n"/>
      <c r="F2" s="14" t="n"/>
      <c r="G2" s="14">
        <f>IF(OR(E2="",F2=""),"",E2*F2)</f>
        <v/>
      </c>
      <c r="H2" s="14">
        <f>IF(G2="","",IF(G2&gt;=15,"Critical",IF(G2&gt;=10,"High",IF(G2&gt;=5,"Medium","Low"))))</f>
        <v/>
      </c>
      <c r="I2" s="14" t="n"/>
      <c r="J2" s="14" t="n"/>
      <c r="K2" s="14" t="n"/>
      <c r="L2" s="14" t="n"/>
      <c r="M2" s="14" t="n"/>
      <c r="N2" s="14" t="n"/>
      <c r="O2" s="14" t="n"/>
      <c r="P2" s="14">
        <f>IF(OR(N2="",O2=""),"",N2*O2)</f>
        <v/>
      </c>
      <c r="Q2" s="14">
        <f>IF(P2="","",IF(P2&gt;=15,"Critical",IF(P2&gt;=10,"High",IF(P2&gt;=5,"Medium","Low"))))</f>
        <v/>
      </c>
      <c r="R2" s="14" t="n"/>
      <c r="S2" s="14" t="n"/>
      <c r="T2" s="14" t="n"/>
      <c r="U2" s="14" t="n"/>
      <c r="V2" s="14" t="n"/>
      <c r="W2" s="14" t="n"/>
      <c r="X2" s="14" t="n"/>
      <c r="Y2" s="14" t="n"/>
    </row>
    <row r="3">
      <c r="A3" s="14">
        <f>IF(C3="","","RISK-"&amp;TEXT(ROW()-1,"0000"))</f>
        <v/>
      </c>
      <c r="B3" s="14" t="n"/>
      <c r="C3" s="14" t="n"/>
      <c r="D3" s="14" t="n"/>
      <c r="E3" s="14" t="n"/>
      <c r="F3" s="14" t="n"/>
      <c r="G3" s="14">
        <f>IF(OR(E3="",F3=""),"",E3*F3)</f>
        <v/>
      </c>
      <c r="H3" s="14">
        <f>IF(G3="","",IF(G3&gt;=15,"Critical",IF(G3&gt;=10,"High",IF(G3&gt;=5,"Medium","Low"))))</f>
        <v/>
      </c>
      <c r="I3" s="14" t="n"/>
      <c r="J3" s="14" t="n"/>
      <c r="K3" s="14" t="n"/>
      <c r="L3" s="14" t="n"/>
      <c r="M3" s="14" t="n"/>
      <c r="N3" s="14" t="n"/>
      <c r="O3" s="14" t="n"/>
      <c r="P3" s="14">
        <f>IF(OR(N3="",O3=""),"",N3*O3)</f>
        <v/>
      </c>
      <c r="Q3" s="14">
        <f>IF(P3="","",IF(P3&gt;=15,"Critical",IF(P3&gt;=10,"High",IF(P3&gt;=5,"Medium","Low"))))</f>
        <v/>
      </c>
      <c r="R3" s="14" t="n"/>
      <c r="S3" s="14" t="n"/>
      <c r="T3" s="14" t="n"/>
      <c r="U3" s="14" t="n"/>
      <c r="V3" s="14" t="n"/>
      <c r="W3" s="14" t="n"/>
      <c r="X3" s="14" t="n"/>
      <c r="Y3" s="14" t="n"/>
    </row>
    <row r="4">
      <c r="A4" s="14">
        <f>IF(C4="","","RISK-"&amp;TEXT(ROW()-1,"0000"))</f>
        <v/>
      </c>
      <c r="B4" s="14" t="n"/>
      <c r="C4" s="14" t="n"/>
      <c r="D4" s="14" t="n"/>
      <c r="E4" s="14" t="n"/>
      <c r="F4" s="14" t="n"/>
      <c r="G4" s="14">
        <f>IF(OR(E4="",F4=""),"",E4*F4)</f>
        <v/>
      </c>
      <c r="H4" s="14">
        <f>IF(G4="","",IF(G4&gt;=15,"Critical",IF(G4&gt;=10,"High",IF(G4&gt;=5,"Medium","Low"))))</f>
        <v/>
      </c>
      <c r="I4" s="14" t="n"/>
      <c r="J4" s="14" t="n"/>
      <c r="K4" s="14" t="n"/>
      <c r="L4" s="14" t="n"/>
      <c r="M4" s="14" t="n"/>
      <c r="N4" s="14" t="n"/>
      <c r="O4" s="14" t="n"/>
      <c r="P4" s="14">
        <f>IF(OR(N4="",O4=""),"",N4*O4)</f>
        <v/>
      </c>
      <c r="Q4" s="14">
        <f>IF(P4="","",IF(P4&gt;=15,"Critical",IF(P4&gt;=10,"High",IF(P4&gt;=5,"Medium","Low"))))</f>
        <v/>
      </c>
      <c r="R4" s="14" t="n"/>
      <c r="S4" s="14" t="n"/>
      <c r="T4" s="14" t="n"/>
      <c r="U4" s="14" t="n"/>
      <c r="V4" s="14" t="n"/>
      <c r="W4" s="14" t="n"/>
      <c r="X4" s="14" t="n"/>
      <c r="Y4" s="14" t="n"/>
    </row>
    <row r="5">
      <c r="A5" s="14">
        <f>IF(C5="","","RISK-"&amp;TEXT(ROW()-1,"0000"))</f>
        <v/>
      </c>
      <c r="B5" s="14" t="n"/>
      <c r="C5" s="14" t="n"/>
      <c r="D5" s="14" t="n"/>
      <c r="E5" s="14" t="n"/>
      <c r="F5" s="14" t="n"/>
      <c r="G5" s="14">
        <f>IF(OR(E5="",F5=""),"",E5*F5)</f>
        <v/>
      </c>
      <c r="H5" s="14">
        <f>IF(G5="","",IF(G5&gt;=15,"Critical",IF(G5&gt;=10,"High",IF(G5&gt;=5,"Medium","Low"))))</f>
        <v/>
      </c>
      <c r="I5" s="14" t="n"/>
      <c r="J5" s="14" t="n"/>
      <c r="K5" s="14" t="n"/>
      <c r="L5" s="14" t="n"/>
      <c r="M5" s="14" t="n"/>
      <c r="N5" s="14" t="n"/>
      <c r="O5" s="14" t="n"/>
      <c r="P5" s="14">
        <f>IF(OR(N5="",O5=""),"",N5*O5)</f>
        <v/>
      </c>
      <c r="Q5" s="14">
        <f>IF(P5="","",IF(P5&gt;=15,"Critical",IF(P5&gt;=10,"High",IF(P5&gt;=5,"Medium","Low"))))</f>
        <v/>
      </c>
      <c r="R5" s="14" t="n"/>
      <c r="S5" s="14" t="n"/>
      <c r="T5" s="14" t="n"/>
      <c r="U5" s="14" t="n"/>
      <c r="V5" s="14" t="n"/>
      <c r="W5" s="14" t="n"/>
      <c r="X5" s="14" t="n"/>
      <c r="Y5" s="14" t="n"/>
    </row>
    <row r="6">
      <c r="A6" s="14">
        <f>IF(C6="","","RISK-"&amp;TEXT(ROW()-1,"0000"))</f>
        <v/>
      </c>
      <c r="B6" s="14" t="n"/>
      <c r="C6" s="14" t="n"/>
      <c r="D6" s="14" t="n"/>
      <c r="E6" s="14" t="n"/>
      <c r="F6" s="14" t="n"/>
      <c r="G6" s="14">
        <f>IF(OR(E6="",F6=""),"",E6*F6)</f>
        <v/>
      </c>
      <c r="H6" s="14">
        <f>IF(G6="","",IF(G6&gt;=15,"Critical",IF(G6&gt;=10,"High",IF(G6&gt;=5,"Medium","Low"))))</f>
        <v/>
      </c>
      <c r="I6" s="14" t="n"/>
      <c r="J6" s="14" t="n"/>
      <c r="K6" s="14" t="n"/>
      <c r="L6" s="14" t="n"/>
      <c r="M6" s="14" t="n"/>
      <c r="N6" s="14" t="n"/>
      <c r="O6" s="14" t="n"/>
      <c r="P6" s="14">
        <f>IF(OR(N6="",O6=""),"",N6*O6)</f>
        <v/>
      </c>
      <c r="Q6" s="14">
        <f>IF(P6="","",IF(P6&gt;=15,"Critical",IF(P6&gt;=10,"High",IF(P6&gt;=5,"Medium","Low"))))</f>
        <v/>
      </c>
      <c r="R6" s="14" t="n"/>
      <c r="S6" s="14" t="n"/>
      <c r="T6" s="14" t="n"/>
      <c r="U6" s="14" t="n"/>
      <c r="V6" s="14" t="n"/>
      <c r="W6" s="14" t="n"/>
      <c r="X6" s="14" t="n"/>
      <c r="Y6" s="14" t="n"/>
    </row>
  </sheetData>
  <conditionalFormatting sqref="H2:H1000">
    <cfRule type="expression" priority="1" dxfId="0">
      <formula>=H2="Critical"</formula>
    </cfRule>
    <cfRule type="expression" priority="2" dxfId="1">
      <formula>=H2="High"</formula>
    </cfRule>
    <cfRule type="expression" priority="3" dxfId="1">
      <formula>=H2="Medium"</formula>
    </cfRule>
  </conditionalFormatting>
  <conditionalFormatting sqref="T2:T1000">
    <cfRule type="expression" priority="4" dxfId="0">
      <formula>=AND(T2&lt;&gt;"",T2&lt;TODAY())</formula>
    </cfRule>
  </conditionalFormatting>
  <dataValidations count="3">
    <dataValidation sqref="D2:D1000" showDropDown="0" showInputMessage="0" showErrorMessage="0" allowBlank="1" errorTitle="Invalid Entry" error="Please select from the list." type="list">
      <formula1>=Lookups!$E$2:$E$11</formula1>
    </dataValidation>
    <dataValidation sqref="C2:C1000" showDropDown="0" showInputMessage="0" showErrorMessage="0" allowBlank="1" errorTitle="Invalid Entry" error="Please select from the list." type="list">
      <formula1>=Lookups!$AS$2:$AS$9</formula1>
    </dataValidation>
    <dataValidation sqref="B2:B1000" showDropDown="0" showInputMessage="0" showErrorMessage="0" allowBlank="1" errorTitle="Invalid Entry" error="Please select from the list." type="list">
      <formula1>=Lookups!$AS$2:$AS$9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7.xml><?xml version="1.0" encoding="utf-8"?>
<worksheet xmlns="http://schemas.openxmlformats.org/spreadsheetml/2006/main">
  <sheetPr>
    <tabColor rgb="00C00000"/>
    <outlinePr summaryBelow="1" summaryRight="1"/>
    <pageSetUpPr/>
  </sheetPr>
  <dimension ref="A1:AC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2" customWidth="1" min="5" max="5"/>
    <col width="16" customWidth="1" min="6" max="6"/>
    <col width="18" customWidth="1" min="7" max="7"/>
    <col width="12" customWidth="1" min="8" max="8"/>
    <col width="30" customWidth="1" min="9" max="9"/>
    <col width="30" customWidth="1" min="10" max="10"/>
    <col width="30" customWidth="1" min="11" max="11"/>
    <col width="30" customWidth="1" min="12" max="12"/>
    <col width="28" customWidth="1" min="13" max="13"/>
    <col width="24" customWidth="1" min="14" max="14"/>
    <col width="14" customWidth="1" min="15" max="15"/>
    <col width="20" customWidth="1" min="16" max="16"/>
    <col width="20" customWidth="1" min="17" max="17"/>
    <col width="20" customWidth="1" min="18" max="18"/>
    <col width="30" customWidth="1" min="19" max="19"/>
    <col width="28" customWidth="1" min="20" max="20"/>
    <col width="18" customWidth="1" min="21" max="21"/>
    <col width="14" customWidth="1" min="22" max="22"/>
    <col width="18" customWidth="1" min="23" max="23"/>
    <col width="14" customWidth="1" min="24" max="24"/>
    <col width="24" customWidth="1" min="25" max="25"/>
    <col width="14" customWidth="1" min="26" max="26"/>
    <col width="14" customWidth="1" min="27" max="27"/>
    <col width="14" customWidth="1" min="28" max="28"/>
    <col width="14" customWidth="1" min="29" max="29"/>
  </cols>
  <sheetData>
    <row r="1">
      <c r="A1" s="13" t="inlineStr">
        <is>
          <t>AAR_ID</t>
        </is>
      </c>
      <c r="B1" s="13" t="inlineStr">
        <is>
          <t>LinkedOpsID</t>
        </is>
      </c>
      <c r="C1" s="13" t="inlineStr">
        <is>
          <t>LinkedCaseID</t>
        </is>
      </c>
      <c r="D1" s="13" t="inlineStr">
        <is>
          <t>ReportDate</t>
        </is>
      </c>
      <c r="E1" s="13" t="inlineStr">
        <is>
          <t>OperationName</t>
        </is>
      </c>
      <c r="F1" s="13" t="inlineStr">
        <is>
          <t>OperationType</t>
        </is>
      </c>
      <c r="G1" s="13" t="inlineStr">
        <is>
          <t>TeamLead</t>
        </is>
      </c>
      <c r="H1" s="13" t="inlineStr">
        <is>
          <t>ObjectivesMet</t>
        </is>
      </c>
      <c r="I1" s="13" t="inlineStr">
        <is>
          <t>ObjectiveSummary</t>
        </is>
      </c>
      <c r="J1" s="13" t="inlineStr">
        <is>
          <t>WhatWorked</t>
        </is>
      </c>
      <c r="K1" s="13" t="inlineStr">
        <is>
          <t>WhatDidNotWork</t>
        </is>
      </c>
      <c r="L1" s="13" t="inlineStr">
        <is>
          <t>LessonsLearned</t>
        </is>
      </c>
      <c r="M1" s="13" t="inlineStr">
        <is>
          <t>TacticalFindings</t>
        </is>
      </c>
      <c r="N1" s="13" t="inlineStr">
        <is>
          <t>IntelAssessment</t>
        </is>
      </c>
      <c r="O1" s="13" t="inlineStr">
        <is>
          <t>CasualtiesOrInjuries</t>
        </is>
      </c>
      <c r="P1" s="13" t="inlineStr">
        <is>
          <t>OfficerSafetyIssues</t>
        </is>
      </c>
      <c r="Q1" s="13" t="inlineStr">
        <is>
          <t>EquipmentIssues</t>
        </is>
      </c>
      <c r="R1" s="13" t="inlineStr">
        <is>
          <t>CommunicationIssues</t>
        </is>
      </c>
      <c r="S1" s="13" t="inlineStr">
        <is>
          <t>Recommendations</t>
        </is>
      </c>
      <c r="T1" s="13" t="inlineStr">
        <is>
          <t>ActionItemsFromAAR</t>
        </is>
      </c>
      <c r="U1" s="13" t="inlineStr">
        <is>
          <t>ActionAssignedTo</t>
        </is>
      </c>
      <c r="V1" s="13" t="inlineStr">
        <is>
          <t>ActionDueDate</t>
        </is>
      </c>
      <c r="W1" s="13" t="inlineStr">
        <is>
          <t>ReviewedBy</t>
        </is>
      </c>
      <c r="X1" s="13" t="inlineStr">
        <is>
          <t>ReviewDate</t>
        </is>
      </c>
      <c r="Y1" s="13" t="inlineStr">
        <is>
          <t>Notes</t>
        </is>
      </c>
      <c r="Z1" s="13" t="inlineStr">
        <is>
          <t>CreatedBy</t>
        </is>
      </c>
      <c r="AA1" s="13" t="inlineStr">
        <is>
          <t>CreatedDate</t>
        </is>
      </c>
      <c r="AB1" s="13" t="inlineStr">
        <is>
          <t>LastUpdatedBy</t>
        </is>
      </c>
      <c r="AC1" s="13" t="inlineStr">
        <is>
          <t>LastUpdatedDate</t>
        </is>
      </c>
    </row>
    <row r="2">
      <c r="A2" s="14">
        <f>IF(B2="","","AAR-"&amp;TEXT(ROW()-1,"0000"))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</row>
    <row r="3">
      <c r="A3" s="14">
        <f>IF(B3="","","AAR-"&amp;TEXT(ROW()-1,"0000"))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</row>
    <row r="4">
      <c r="A4" s="14">
        <f>IF(B4="","","AAR-"&amp;TEXT(ROW()-1,"0000"))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</row>
    <row r="5">
      <c r="A5" s="14">
        <f>IF(B5="","","AAR-"&amp;TEXT(ROW()-1,"0000"))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  <c r="X5" s="14" t="n"/>
      <c r="Y5" s="14" t="n"/>
      <c r="Z5" s="14" t="n"/>
      <c r="AA5" s="14" t="n"/>
      <c r="AB5" s="14" t="n"/>
      <c r="AC5" s="14" t="n"/>
    </row>
    <row r="6">
      <c r="A6" s="14">
        <f>IF(B6="","","AAR-"&amp;TEXT(ROW()-1,"0000"))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  <c r="X6" s="14" t="n"/>
      <c r="Y6" s="14" t="n"/>
      <c r="Z6" s="14" t="n"/>
      <c r="AA6" s="14" t="n"/>
      <c r="AB6" s="14" t="n"/>
      <c r="AC6" s="14" t="n"/>
    </row>
  </sheetData>
  <conditionalFormatting sqref="V2:V1000">
    <cfRule type="expression" priority="1" dxfId="0">
      <formula>=AND(V2&lt;&gt;"",V2&lt;TODAY())</formula>
    </cfRule>
  </conditionalFormatting>
  <dataValidations count="1">
    <dataValidation sqref="H2:H1000" showDropDown="0" showInputMessage="0" showErrorMessage="0" allowBlank="1" errorTitle="Invalid Entry" error="Please select from the list." type="list">
      <formula1>=Lookups!$I$2:$I$3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8.xml><?xml version="1.0" encoding="utf-8"?>
<worksheet xmlns="http://schemas.openxmlformats.org/spreadsheetml/2006/main">
  <sheetPr>
    <tabColor rgb="00002060"/>
    <outlinePr summaryBelow="1" summaryRight="1"/>
    <pageSetUpPr/>
  </sheetPr>
  <dimension ref="A1:R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2" customWidth="1" min="3" max="3"/>
    <col width="18" customWidth="1" min="4" max="4"/>
    <col width="12" customWidth="1" min="5" max="5"/>
    <col width="16" customWidth="1" min="6" max="6"/>
    <col width="16" customWidth="1" min="7" max="7"/>
    <col width="30" customWidth="1" min="8" max="8"/>
    <col width="24" customWidth="1" min="9" max="9"/>
    <col width="14" customWidth="1" min="10" max="10"/>
    <col width="18" customWidth="1" min="11" max="11"/>
    <col width="24" customWidth="1" min="12" max="12"/>
    <col width="24" customWidth="1" min="13" max="13"/>
    <col width="14" customWidth="1" min="14" max="14"/>
    <col width="18" customWidth="1" min="15" max="15"/>
    <col width="14" customWidth="1" min="16" max="16"/>
    <col width="24" customWidth="1" min="17" max="17"/>
    <col width="14" customWidth="1" min="18" max="18"/>
  </cols>
  <sheetData>
    <row r="1">
      <c r="A1" s="13" t="inlineStr">
        <is>
          <t>NotificationID</t>
        </is>
      </c>
      <c r="B1" s="13" t="inlineStr">
        <is>
          <t>Date</t>
        </is>
      </c>
      <c r="C1" s="13" t="inlineStr">
        <is>
          <t>Time</t>
        </is>
      </c>
      <c r="D1" s="13" t="inlineStr">
        <is>
          <t>AlertType</t>
        </is>
      </c>
      <c r="E1" s="13" t="inlineStr">
        <is>
          <t>Severity</t>
        </is>
      </c>
      <c r="F1" s="13" t="inlineStr">
        <is>
          <t>SourceTable</t>
        </is>
      </c>
      <c r="G1" s="13" t="inlineStr">
        <is>
          <t>SourceRecordID</t>
        </is>
      </c>
      <c r="H1" s="13" t="inlineStr">
        <is>
          <t>Description</t>
        </is>
      </c>
      <c r="I1" s="13" t="inlineStr">
        <is>
          <t>TriggeredRule</t>
        </is>
      </c>
      <c r="J1" s="13" t="inlineStr">
        <is>
          <t>AffectedUnit</t>
        </is>
      </c>
      <c r="K1" s="13" t="inlineStr">
        <is>
          <t>AffectedOfficer</t>
        </is>
      </c>
      <c r="L1" s="13" t="inlineStr">
        <is>
          <t>ActionRequired</t>
        </is>
      </c>
      <c r="M1" s="13" t="inlineStr">
        <is>
          <t>ActionTaken</t>
        </is>
      </c>
      <c r="N1" s="13" t="inlineStr">
        <is>
          <t>ActionDate</t>
        </is>
      </c>
      <c r="O1" s="13" t="inlineStr">
        <is>
          <t>ResolvedBy</t>
        </is>
      </c>
      <c r="P1" s="13" t="inlineStr">
        <is>
          <t>Status</t>
        </is>
      </c>
      <c r="Q1" s="13" t="inlineStr">
        <is>
          <t>Notes</t>
        </is>
      </c>
      <c r="R1" s="13" t="inlineStr">
        <is>
          <t>CreatedDate</t>
        </is>
      </c>
    </row>
    <row r="2">
      <c r="A2" s="14">
        <f>IF(B2="","","NTFY-"&amp;TEXT(ROW()-1,"0000"))</f>
        <v/>
      </c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</row>
    <row r="3">
      <c r="A3" s="14">
        <f>IF(B3="","","NTFY-"&amp;TEXT(ROW()-1,"0000"))</f>
        <v/>
      </c>
      <c r="B3" s="14" t="n"/>
      <c r="C3" s="14" t="n"/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</row>
    <row r="4">
      <c r="A4" s="14">
        <f>IF(B4="","","NTFY-"&amp;TEXT(ROW()-1,"0000"))</f>
        <v/>
      </c>
      <c r="B4" s="14" t="n"/>
      <c r="C4" s="14" t="n"/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</row>
    <row r="5">
      <c r="A5" s="14">
        <f>IF(B5="","","NTFY-"&amp;TEXT(ROW()-1,"0000"))</f>
        <v/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</row>
    <row r="6">
      <c r="A6" s="14">
        <f>IF(B6="","","NTFY-"&amp;TEXT(ROW()-1,"0000"))</f>
        <v/>
      </c>
      <c r="B6" s="14" t="n"/>
      <c r="C6" s="14" t="n"/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</row>
  </sheetData>
  <dataValidations count="1">
    <dataValidation sqref="E2:E1000" showDropDown="0" showInputMessage="0" showErrorMessage="0" allowBlank="1" errorTitle="Invalid Entry" error="Please select from the list." type="list">
      <formula1>=Lookups!$AX$2:$AX$6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9.xml><?xml version="1.0" encoding="utf-8"?>
<worksheet xmlns="http://schemas.openxmlformats.org/spreadsheetml/2006/main">
  <sheetPr>
    <tabColor rgb="00002060"/>
    <outlinePr summaryBelow="1" summaryRight="1"/>
    <pageSetUpPr/>
  </sheetPr>
  <dimension ref="A1:F6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6" customHeight="1">
      <c r="A1" s="78" t="inlineStr">
        <is>
          <t>FNID AREA 3 — WORKBOOK USER GUIDE</t>
        </is>
      </c>
    </row>
    <row r="3">
      <c r="A3" s="79" t="inlineStr">
        <is>
          <t>GETTING STARTED</t>
        </is>
      </c>
    </row>
    <row r="4">
      <c r="A4" s="80" t="inlineStr">
        <is>
          <t>1. This workbook is the central operational management system for FNID Area 3.</t>
        </is>
      </c>
    </row>
    <row r="5">
      <c r="A5" s="80" t="inlineStr">
        <is>
          <t>2. Navigate using the HOME sheet — click sheet names to go to each section.</t>
        </is>
      </c>
    </row>
    <row r="6">
      <c r="A6" s="80" t="inlineStr">
        <is>
          <t>3. PORTALS are read-only summary views for each unit (no data entry on portals).</t>
        </is>
      </c>
    </row>
    <row r="7">
      <c r="A7" s="80" t="inlineStr">
        <is>
          <t>4. DATA TABLES (tbl_*) are where you enter and manage operational data.</t>
        </is>
      </c>
    </row>
    <row r="8">
      <c r="A8" s="80" t="inlineStr">
        <is>
          <t>5. DASHBOARDS (Dash_*) provide analytics and trend views — all auto-calculated.</t>
        </is>
      </c>
    </row>
    <row r="9">
      <c r="A9" s="80" t="inlineStr">
        <is>
          <t>6. FORMS (Form_*) are printable templates for field use.</t>
        </is>
      </c>
    </row>
    <row r="11">
      <c r="A11" s="79" t="inlineStr">
        <is>
          <t>DATA ENTRY RULES</t>
        </is>
      </c>
    </row>
    <row r="12">
      <c r="A12" s="80" t="inlineStr">
        <is>
          <t>1. Always use the dropdown lists where provided — they ensure data consistency.</t>
        </is>
      </c>
    </row>
    <row r="13">
      <c r="A13" s="80" t="inlineStr">
        <is>
          <t>2. DO NOT delete or rename column headers — formulas depend on them.</t>
        </is>
      </c>
    </row>
    <row r="14">
      <c r="A14" s="80" t="inlineStr">
        <is>
          <t>3. Enter dates in DD/MM/YYYY format. Times in HH:MM format.</t>
        </is>
      </c>
    </row>
    <row r="15">
      <c r="A15" s="80" t="inlineStr">
        <is>
          <t>4. ID columns (CaseID, LeadID, etc.) auto-generate — do not type in them.</t>
        </is>
      </c>
    </row>
    <row r="16">
      <c r="A16" s="80" t="inlineStr">
        <is>
          <t>5. Always fill CreatedBy and CreatedDate when adding new records.</t>
        </is>
      </c>
    </row>
    <row r="17">
      <c r="A17" s="80" t="inlineStr">
        <is>
          <t>6. Use LastUpdatedBy and LastUpdatedDate when modifying existing records.</t>
        </is>
      </c>
    </row>
    <row r="19">
      <c r="A19" s="79" t="inlineStr">
        <is>
          <t>CASE MANAGEMENT SOP</t>
        </is>
      </c>
    </row>
    <row r="20">
      <c r="A20" s="80" t="inlineStr">
        <is>
          <t>1. Register all cases in tbl_Cases within 24 hours (RegistrationSLA tracked).</t>
        </is>
      </c>
    </row>
    <row r="21">
      <c r="A21" s="80" t="inlineStr">
        <is>
          <t>2. Create an Investigation Plan for every active case (tbl_InvestigationPlans).</t>
        </is>
      </c>
    </row>
    <row r="22">
      <c r="A22" s="80" t="inlineStr">
        <is>
          <t>3. Conduct mandatory reviews at 14, 28, 56, and 90 day intervals (tbl_Reviews).</t>
        </is>
      </c>
    </row>
    <row r="23">
      <c r="A23" s="80" t="inlineStr">
        <is>
          <t>4. Log all case assignments and handovers in tbl_CaseAssignments.</t>
        </is>
      </c>
    </row>
    <row r="24">
      <c r="A24" s="80" t="inlineStr">
        <is>
          <t>5. Record all witness statements in tbl_Statements.</t>
        </is>
      </c>
    </row>
    <row r="25">
      <c r="A25" s="80" t="inlineStr">
        <is>
          <t>6. Update victims/complainants regularly via tbl_VictimContact.</t>
        </is>
      </c>
    </row>
    <row r="26">
      <c r="A26" s="80" t="inlineStr">
        <is>
          <t>7. Complete Case File Checklist before court (tbl_CaseFileChecklist).</t>
        </is>
      </c>
    </row>
    <row r="27">
      <c r="A27" s="80" t="inlineStr">
        <is>
          <t>8. Log all prosecution disclosure in tbl_Disclosure.</t>
        </is>
      </c>
    </row>
    <row r="28">
      <c r="A28" s="80" t="inlineStr">
        <is>
          <t>9. Ensure 48-hour charge rule compliance (auto-tracked in tbl_Cases).</t>
        </is>
      </c>
    </row>
    <row r="29">
      <c r="A29" s="80" t="inlineStr">
        <is>
          <t>10. Document all command conferences in tbl_CommandConference.</t>
        </is>
      </c>
    </row>
    <row r="31">
      <c r="A31" s="79" t="inlineStr">
        <is>
          <t>EVIDENCE MANAGEMENT</t>
        </is>
      </c>
    </row>
    <row r="32">
      <c r="A32" s="80" t="inlineStr">
        <is>
          <t>1. Register all exhibits immediately in tbl_Exhibits.</t>
        </is>
      </c>
    </row>
    <row r="33">
      <c r="A33" s="80" t="inlineStr">
        <is>
          <t>2. Log every handover in tbl_CustodyTransfers (chain of custody).</t>
        </is>
      </c>
    </row>
    <row r="34">
      <c r="A34" s="80" t="inlineStr">
        <is>
          <t>3. Forensic routing auto-suggests agency based on evidence type.</t>
        </is>
      </c>
    </row>
    <row r="35">
      <c r="A35" s="80" t="inlineStr">
        <is>
          <t>4. Track ballistic matches in tbl_BallisticTrace.</t>
        </is>
      </c>
    </row>
    <row r="36">
      <c r="A36" s="80" t="inlineStr">
        <is>
          <t>5. Court readiness status must be updated before each hearing.</t>
        </is>
      </c>
    </row>
    <row r="38">
      <c r="A38" s="79" t="inlineStr">
        <is>
          <t>INTELLIGENCE PROCEDURES</t>
        </is>
      </c>
    </row>
    <row r="39">
      <c r="A39" s="80" t="inlineStr">
        <is>
          <t>1. All MCR reports are auto-filtered for FNID relevance (tbl_MCR_Raw).</t>
        </is>
      </c>
    </row>
    <row r="40">
      <c r="A40" s="80" t="inlineStr">
        <is>
          <t>2. Triage all leads within 24 hours (tbl_Leads).</t>
        </is>
      </c>
    </row>
    <row r="41">
      <c r="A41" s="80" t="inlineStr">
        <is>
          <t>3. Register informants with code names only (tbl_Informants).</t>
        </is>
      </c>
    </row>
    <row r="42">
      <c r="A42" s="80" t="inlineStr">
        <is>
          <t>4. Track gang affiliations in tbl_GangAffiliation.</t>
        </is>
      </c>
    </row>
    <row r="43">
      <c r="A43" s="80" t="inlineStr">
        <is>
          <t>5. Log all intelligence briefings in tbl_IntelBriefings.</t>
        </is>
      </c>
    </row>
    <row r="45">
      <c r="A45" s="79" t="inlineStr">
        <is>
          <t>TRANSPORT PROCEDURES</t>
        </is>
      </c>
    </row>
    <row r="46">
      <c r="A46" s="80" t="inlineStr">
        <is>
          <t>1. Update vehicle status in tbl_Vehicles before and after every operation.</t>
        </is>
      </c>
    </row>
    <row r="47">
      <c r="A47" s="80" t="inlineStr">
        <is>
          <t>2. Log all trips in tbl_VehicleUsage, all fuel in tbl_FuelLog.</t>
        </is>
      </c>
    </row>
    <row r="48">
      <c r="A48" s="80" t="inlineStr">
        <is>
          <t>3. Schedule maintenance in tbl_Maintenance — overdue items turn RED.</t>
        </is>
      </c>
    </row>
    <row r="49">
      <c r="A49" s="80" t="inlineStr">
        <is>
          <t>4. Ensure all driver licenses are current (tbl_Drivers).</t>
        </is>
      </c>
    </row>
    <row r="51">
      <c r="A51" s="79" t="inlineStr">
        <is>
          <t>ADMIN/HRM PROCEDURES</t>
        </is>
      </c>
    </row>
    <row r="52">
      <c r="A52" s="80" t="inlineStr">
        <is>
          <t>1. Maintain personnel register in tbl_Personnel.</t>
        </is>
      </c>
    </row>
    <row r="53">
      <c r="A53" s="80" t="inlineStr">
        <is>
          <t>2. Manage leave requests via tbl_LeaveManagement.</t>
        </is>
      </c>
    </row>
    <row r="54">
      <c r="A54" s="80" t="inlineStr">
        <is>
          <t>3. Track disciplinary matters in tbl_Disciplinary.</t>
        </is>
      </c>
    </row>
    <row r="55">
      <c r="A55" s="80" t="inlineStr">
        <is>
          <t>4. Manage shifts and assignments via tbl_DutyRoster.</t>
        </is>
      </c>
    </row>
    <row r="56">
      <c r="A56" s="80" t="inlineStr">
        <is>
          <t>5. Log all correspondence in tbl_Correspondence.</t>
        </is>
      </c>
    </row>
    <row r="58">
      <c r="A58" s="79" t="inlineStr">
        <is>
          <t>CONDITIONAL FORMATTING GUIDE</t>
        </is>
      </c>
    </row>
    <row r="59">
      <c r="A59" s="80" t="inlineStr">
        <is>
          <t>RED cells = Overdue, expired, non-compliant, or critical items.</t>
        </is>
      </c>
    </row>
    <row r="60">
      <c r="A60" s="80" t="inlineStr">
        <is>
          <t>AMBER/GOLD cells = At risk, approaching deadline, or needs attention.</t>
        </is>
      </c>
    </row>
    <row r="61">
      <c r="A61" s="80" t="inlineStr">
        <is>
          <t>GREEN cells = On track, compliant, or complete.</t>
        </is>
      </c>
    </row>
    <row r="63">
      <c r="A63" s="79" t="inlineStr">
        <is>
          <t>SECURITY &amp; CONFIDENTIALITY</t>
        </is>
      </c>
    </row>
    <row r="64">
      <c r="A64" s="80" t="inlineStr">
        <is>
          <t>This workbook contains CONFIDENTIAL operational data.</t>
        </is>
      </c>
    </row>
    <row r="65">
      <c r="A65" s="80" t="inlineStr">
        <is>
          <t>For OFFICIAL USE ONLY — do not share externally.</t>
        </is>
      </c>
    </row>
    <row r="66">
      <c r="A66" s="80" t="inlineStr">
        <is>
          <t>Protect sensitive sheets with passwords where possible.</t>
        </is>
      </c>
    </row>
    <row r="67">
      <c r="A67" s="80" t="inlineStr">
        <is>
          <t>Back up the file regularly to a secure location.</t>
        </is>
      </c>
    </row>
    <row r="68">
      <c r="A68" s="80" t="inlineStr">
        <is>
          <t>tbl_Informants contains highly sensitive data — restrict access.</t>
        </is>
      </c>
    </row>
  </sheetData>
  <mergeCells count="59">
    <mergeCell ref="A41:F41"/>
    <mergeCell ref="A16:F16"/>
    <mergeCell ref="A54:F54"/>
    <mergeCell ref="A46:F46"/>
    <mergeCell ref="A66:F66"/>
    <mergeCell ref="A27:F27"/>
    <mergeCell ref="A12:F12"/>
    <mergeCell ref="A56:F56"/>
    <mergeCell ref="A3:F3"/>
    <mergeCell ref="A21:F21"/>
    <mergeCell ref="A26:F26"/>
    <mergeCell ref="A55:F55"/>
    <mergeCell ref="A33:F33"/>
    <mergeCell ref="A47:F47"/>
    <mergeCell ref="A42:F42"/>
    <mergeCell ref="A14:F14"/>
    <mergeCell ref="A5:F5"/>
    <mergeCell ref="A23:F23"/>
    <mergeCell ref="A32:F32"/>
    <mergeCell ref="A8:F8"/>
    <mergeCell ref="A22:F22"/>
    <mergeCell ref="A17:F17"/>
    <mergeCell ref="A35:F35"/>
    <mergeCell ref="A4:F4"/>
    <mergeCell ref="A20:F20"/>
    <mergeCell ref="A53:F53"/>
    <mergeCell ref="A29:F29"/>
    <mergeCell ref="A43:F43"/>
    <mergeCell ref="A38:F38"/>
    <mergeCell ref="A63:F63"/>
    <mergeCell ref="A52:F52"/>
    <mergeCell ref="A65:F65"/>
    <mergeCell ref="A28:F28"/>
    <mergeCell ref="A13:F13"/>
    <mergeCell ref="A19:F19"/>
    <mergeCell ref="A68:F68"/>
    <mergeCell ref="A9:F9"/>
    <mergeCell ref="A67:F67"/>
    <mergeCell ref="A31:F31"/>
    <mergeCell ref="A58:F58"/>
    <mergeCell ref="A34:F34"/>
    <mergeCell ref="A40:F40"/>
    <mergeCell ref="A48:F48"/>
    <mergeCell ref="A39:F39"/>
    <mergeCell ref="A15:F15"/>
    <mergeCell ref="A59:F59"/>
    <mergeCell ref="A64:F64"/>
    <mergeCell ref="A24:F24"/>
    <mergeCell ref="A11:F11"/>
    <mergeCell ref="A49:F49"/>
    <mergeCell ref="A51:F51"/>
    <mergeCell ref="A60:F60"/>
    <mergeCell ref="A36:F36"/>
    <mergeCell ref="A1:F1"/>
    <mergeCell ref="A45:F45"/>
    <mergeCell ref="A61:F61"/>
    <mergeCell ref="A6:F6"/>
    <mergeCell ref="A7:F7"/>
    <mergeCell ref="A25:F25"/>
  </mergeCell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tabColor rgb="00808080"/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16" customWidth="1" min="4" max="4"/>
    <col width="40" customWidth="1" min="5" max="5"/>
    <col width="30" customWidth="1" min="6" max="6"/>
  </cols>
  <sheetData>
    <row r="1">
      <c r="A1" s="13" t="inlineStr">
        <is>
          <t>Version</t>
        </is>
      </c>
      <c r="B1" s="13" t="inlineStr">
        <is>
          <t>Date</t>
        </is>
      </c>
      <c r="C1" s="13" t="inlineStr">
        <is>
          <t>Author</t>
        </is>
      </c>
      <c r="D1" s="13" t="inlineStr">
        <is>
          <t>ChangeType</t>
        </is>
      </c>
      <c r="E1" s="13" t="inlineStr">
        <is>
          <t>Description</t>
        </is>
      </c>
      <c r="F1" s="13" t="inlineStr">
        <is>
          <t>SheetsAffected</t>
        </is>
      </c>
    </row>
    <row r="2">
      <c r="A2" s="15" t="inlineStr">
        <is>
          <t>1.0</t>
        </is>
      </c>
      <c r="B2" s="15" t="inlineStr">
        <is>
          <t>2026-02-27</t>
        </is>
      </c>
      <c r="C2" s="15" t="inlineStr">
        <is>
          <t>System</t>
        </is>
      </c>
      <c r="D2" s="15" t="inlineStr">
        <is>
          <t>Initial Build</t>
        </is>
      </c>
      <c r="E2" s="15" t="inlineStr">
        <is>
          <t>Full workbook: 48 sheets, 19 tables, 32 KPIs, 20 lookups, 9 portals, 2 dashboards, 4 forms</t>
        </is>
      </c>
      <c r="F2" s="15" t="inlineStr">
        <is>
          <t>All</t>
        </is>
      </c>
    </row>
    <row r="3">
      <c r="A3" s="15" t="inlineStr">
        <is>
          <t>1.1</t>
        </is>
      </c>
      <c r="B3" s="15" t="inlineStr">
        <is>
          <t>2026-02-27</t>
        </is>
      </c>
      <c r="C3" s="15" t="inlineStr">
        <is>
          <t>Audit Patch</t>
        </is>
      </c>
      <c r="D3" s="15" t="inlineStr">
        <is>
          <t>Gap Remediation</t>
        </is>
      </c>
      <c r="E3" s="15" t="inlineStr">
        <is>
          <t>Added 10 tables (Personnel, Training, Court, Arrests, Seizures, Warrants, Informants, DutyRoster, CustodyTransfers, SceneLog), 12 KPIs, 10 lookup columns, trend analysis, aging/SLA metrics</t>
        </is>
      </c>
      <c r="F3" s="15" t="inlineStr">
        <is>
          <t>58 sheets affected</t>
        </is>
      </c>
    </row>
    <row r="4">
      <c r="A4" s="15" t="inlineStr">
        <is>
          <t>1.2</t>
        </is>
      </c>
      <c r="B4" s="15" t="inlineStr">
        <is>
          <t>2026-02-27</t>
        </is>
      </c>
      <c r="C4" s="15" t="inlineStr">
        <is>
          <t>SOP Compliance</t>
        </is>
      </c>
      <c r="D4" s="15" t="inlineStr">
        <is>
          <t>Major Enhancement</t>
        </is>
      </c>
      <c r="E4" s="15" t="inlineStr">
        <is>
          <t>Added 8 SOP tables (Witnesses, Statements, CaseAssignments, VictimContact, InvestigationPlans, CaseFileChecklist, Disclosure, CommandConference), 24 new columns on tbl_Cases, 11 on tbl_Reviews, 12 SOP KPIs, rebuilt Registry &amp; Investigations portals, 3 form templates</t>
        </is>
      </c>
      <c r="F4" s="15" t="inlineStr">
        <is>
          <t>69 sheets</t>
        </is>
      </c>
    </row>
    <row r="5">
      <c r="A5" s="15" t="inlineStr">
        <is>
          <t>1.3</t>
        </is>
      </c>
      <c r="B5" s="15" t="inlineStr">
        <is>
          <t>2026-02-27</t>
        </is>
      </c>
      <c r="C5" s="15" t="inlineStr">
        <is>
          <t>Full Gap Closure</t>
        </is>
      </c>
      <c r="D5" s="15" t="inlineStr">
        <is>
          <t>Major Enhancement</t>
        </is>
      </c>
      <c r="E5" s="15" t="inlineStr">
        <is>
          <t>Built 8 unit dashboards, 8 new tables (BallisticTrace, GangAffiliation, Budget, LeaveManagement, Disciplinary, Correspondence, RiskRegister, AfterActionReport, Notifications), rebuilt 3 portals, added Instructions, ChangeLog, Quarterly Report template, bug fixes, 9 new lookup lists</t>
        </is>
      </c>
      <c r="F5" s="15" t="inlineStr">
        <is>
          <t>All sheets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1.xml><?xml version="1.0" encoding="utf-8"?>
<worksheet xmlns="http://schemas.openxmlformats.org/spreadsheetml/2006/main">
  <sheetPr>
    <tabColor rgb="00002060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1" t="inlineStr">
        <is>
          <t>FNID AREA 3 — QUARTERLY OPERATIONAL REPORT</t>
        </is>
      </c>
    </row>
    <row r="2">
      <c r="A2" s="3" t="inlineStr">
        <is>
          <t>(For Submission to Divisional Commander)</t>
        </is>
      </c>
    </row>
    <row r="4">
      <c r="A4" s="55" t="inlineStr">
        <is>
          <t>REPORTING PERIOD</t>
        </is>
      </c>
    </row>
    <row r="5">
      <c r="A5" s="53" t="inlineStr">
        <is>
          <t>Quarter:</t>
        </is>
      </c>
      <c r="B5" s="56" t="n"/>
    </row>
    <row r="6">
      <c r="A6" s="53" t="inlineStr">
        <is>
          <t>Year:</t>
        </is>
      </c>
      <c r="B6" s="56" t="n"/>
    </row>
    <row r="7">
      <c r="A7" s="53" t="inlineStr">
        <is>
          <t>Prepared By:</t>
        </is>
      </c>
      <c r="B7" s="56" t="n"/>
    </row>
    <row r="8">
      <c r="A8" s="53" t="inlineStr">
        <is>
          <t>Date:</t>
        </is>
      </c>
      <c r="B8" s="56" t="n"/>
    </row>
    <row r="10">
      <c r="A10" s="55" t="inlineStr">
        <is>
          <t>EXECUTIVE SUMMARY</t>
        </is>
      </c>
    </row>
    <row r="11">
      <c r="A11" s="81" t="n"/>
    </row>
    <row r="12">
      <c r="A12" s="81" t="n"/>
    </row>
    <row r="13">
      <c r="A13" s="81" t="n"/>
    </row>
    <row r="15">
      <c r="A15" s="55" t="inlineStr">
        <is>
          <t>CASE MANAGEMENT</t>
        </is>
      </c>
    </row>
    <row r="16">
      <c r="A16" s="53" t="inlineStr">
        <is>
          <t>Cases Registered:</t>
        </is>
      </c>
      <c r="B16" s="56" t="n"/>
    </row>
    <row r="17">
      <c r="A17" s="53" t="inlineStr">
        <is>
          <t>Cases Closed:</t>
        </is>
      </c>
      <c r="B17" s="56" t="n"/>
    </row>
    <row r="18">
      <c r="A18" s="53" t="inlineStr">
        <is>
          <t>Clearance Rate:</t>
        </is>
      </c>
      <c r="B18" s="56" t="n"/>
    </row>
    <row r="19">
      <c r="A19" s="53" t="inlineStr">
        <is>
          <t>Cold Cases:</t>
        </is>
      </c>
      <c r="B19" s="56" t="n"/>
    </row>
    <row r="20">
      <c r="A20" s="53" t="inlineStr">
        <is>
          <t>CR Compliance Rate:</t>
        </is>
      </c>
      <c r="B20" s="56" t="n"/>
    </row>
    <row r="21">
      <c r="A21" s="53" t="inlineStr">
        <is>
          <t>Avg Days to Close:</t>
        </is>
      </c>
      <c r="B21" s="56" t="n"/>
    </row>
    <row r="23">
      <c r="A23" s="55" t="inlineStr">
        <is>
          <t>OPERATIONS</t>
        </is>
      </c>
    </row>
    <row r="24">
      <c r="A24" s="53" t="inlineStr">
        <is>
          <t>Operations Conducted:</t>
        </is>
      </c>
      <c r="B24" s="56" t="n"/>
    </row>
    <row r="25">
      <c r="A25" s="53" t="inlineStr">
        <is>
          <t>FCSI Operations:</t>
        </is>
      </c>
      <c r="B25" s="56" t="n"/>
    </row>
    <row r="26">
      <c r="A26" s="53" t="inlineStr">
        <is>
          <t>Firearms Seized:</t>
        </is>
      </c>
      <c r="B26" s="56" t="n"/>
    </row>
    <row r="27">
      <c r="A27" s="53" t="inlineStr">
        <is>
          <t>Ammunition Seized:</t>
        </is>
      </c>
      <c r="B27" s="56" t="n"/>
    </row>
    <row r="28">
      <c r="A28" s="53" t="inlineStr">
        <is>
          <t>Narcotics Seized (kg):</t>
        </is>
      </c>
      <c r="B28" s="56" t="n"/>
    </row>
    <row r="29">
      <c r="A29" s="53" t="inlineStr">
        <is>
          <t>Arrests Made:</t>
        </is>
      </c>
      <c r="B29" s="56" t="n"/>
    </row>
    <row r="30">
      <c r="A30" s="53" t="inlineStr">
        <is>
          <t>Search Warrants Executed:</t>
        </is>
      </c>
      <c r="B30" s="56" t="n"/>
    </row>
    <row r="32">
      <c r="A32" s="55" t="inlineStr">
        <is>
          <t>INTELLIGENCE</t>
        </is>
      </c>
    </row>
    <row r="33">
      <c r="A33" s="53" t="inlineStr">
        <is>
          <t>Leads Received:</t>
        </is>
      </c>
      <c r="B33" s="56" t="n"/>
    </row>
    <row r="34">
      <c r="A34" s="53" t="inlineStr">
        <is>
          <t>Leads Triaged:</t>
        </is>
      </c>
      <c r="B34" s="56" t="n"/>
    </row>
    <row r="35">
      <c r="A35" s="53" t="inlineStr">
        <is>
          <t>Conversion Rate:</t>
        </is>
      </c>
      <c r="B35" s="56" t="n"/>
    </row>
    <row r="36">
      <c r="A36" s="53" t="inlineStr">
        <is>
          <t>Briefings Delivered:</t>
        </is>
      </c>
      <c r="B36" s="56" t="n"/>
    </row>
    <row r="38">
      <c r="A38" s="55" t="inlineStr">
        <is>
          <t>EVIDENCE &amp; FORENSICS</t>
        </is>
      </c>
    </row>
    <row r="39">
      <c r="A39" s="53" t="inlineStr">
        <is>
          <t>Exhibits Collected:</t>
        </is>
      </c>
      <c r="B39" s="56" t="n"/>
    </row>
    <row r="40">
      <c r="A40" s="53" t="inlineStr">
        <is>
          <t>Forensic Submissions:</t>
        </is>
      </c>
      <c r="B40" s="56" t="n"/>
    </row>
    <row r="41">
      <c r="A41" s="53" t="inlineStr">
        <is>
          <t>Avg Turnaround (days):</t>
        </is>
      </c>
      <c r="B41" s="56" t="n"/>
    </row>
    <row r="42">
      <c r="A42" s="53" t="inlineStr">
        <is>
          <t>Court Ready Items:</t>
        </is>
      </c>
      <c r="B42" s="56" t="n"/>
    </row>
    <row r="44">
      <c r="A44" s="55" t="inlineStr">
        <is>
          <t>TRANSPORT</t>
        </is>
      </c>
    </row>
    <row r="45">
      <c r="A45" s="53" t="inlineStr">
        <is>
          <t>Fleet Availability %:</t>
        </is>
      </c>
      <c r="B45" s="56" t="n"/>
    </row>
    <row r="46">
      <c r="A46" s="53" t="inlineStr">
        <is>
          <t>Total Trips:</t>
        </is>
      </c>
      <c r="B46" s="56" t="n"/>
    </row>
    <row r="47">
      <c r="A47" s="53" t="inlineStr">
        <is>
          <t>Fuel Consumed (L):</t>
        </is>
      </c>
      <c r="B47" s="56" t="n"/>
    </row>
    <row r="48">
      <c r="A48" s="53" t="inlineStr">
        <is>
          <t>Maintenance Cost:</t>
        </is>
      </c>
      <c r="B48" s="56" t="n"/>
    </row>
    <row r="50">
      <c r="A50" s="55" t="inlineStr">
        <is>
          <t>DEMAND REDUCTION</t>
        </is>
      </c>
    </row>
    <row r="51">
      <c r="A51" s="53" t="inlineStr">
        <is>
          <t>Sessions Held:</t>
        </is>
      </c>
      <c r="B51" s="56" t="n"/>
    </row>
    <row r="52">
      <c r="A52" s="53" t="inlineStr">
        <is>
          <t>Total Attendance:</t>
        </is>
      </c>
      <c r="B52" s="56" t="n"/>
    </row>
    <row r="53">
      <c r="A53" s="53" t="inlineStr">
        <is>
          <t>Communities Reached:</t>
        </is>
      </c>
      <c r="B53" s="56" t="n"/>
    </row>
    <row r="55">
      <c r="A55" s="55" t="inlineStr">
        <is>
          <t>PERSONNEL &amp; TRAINING</t>
        </is>
      </c>
    </row>
    <row r="56">
      <c r="A56" s="53" t="inlineStr">
        <is>
          <t>Current Strength:</t>
        </is>
      </c>
      <c r="B56" s="56" t="n"/>
    </row>
    <row r="57">
      <c r="A57" s="53" t="inlineStr">
        <is>
          <t>Vacancies:</t>
        </is>
      </c>
      <c r="B57" s="56" t="n"/>
    </row>
    <row r="58">
      <c r="A58" s="53" t="inlineStr">
        <is>
          <t>Training Sessions:</t>
        </is>
      </c>
      <c r="B58" s="56" t="n"/>
    </row>
    <row r="59">
      <c r="A59" s="53" t="inlineStr">
        <is>
          <t>Personnel Trained:</t>
        </is>
      </c>
      <c r="B59" s="56" t="n"/>
    </row>
    <row r="61">
      <c r="A61" s="55" t="inlineStr">
        <is>
          <t>CHALLENGES &amp; RECOMMENDATIONS</t>
        </is>
      </c>
    </row>
    <row r="62">
      <c r="A62" s="81" t="n"/>
    </row>
    <row r="63">
      <c r="A63" s="81" t="n"/>
    </row>
    <row r="64">
      <c r="A64" s="81" t="n"/>
    </row>
    <row r="66">
      <c r="A66" s="55" t="inlineStr">
        <is>
          <t>PRIORITIES FOR NEXT QUARTER</t>
        </is>
      </c>
    </row>
    <row r="67">
      <c r="A67" s="53" t="inlineStr">
        <is>
          <t>1.</t>
        </is>
      </c>
      <c r="B67" s="56" t="n"/>
    </row>
    <row r="68">
      <c r="A68" s="53" t="inlineStr">
        <is>
          <t>2.</t>
        </is>
      </c>
      <c r="B68" s="56" t="n"/>
    </row>
    <row r="69">
      <c r="A69" s="53" t="inlineStr">
        <is>
          <t>3.</t>
        </is>
      </c>
      <c r="B69" s="56" t="n"/>
    </row>
    <row r="71">
      <c r="A71" s="55" t="inlineStr">
        <is>
          <t>APPROVALS</t>
        </is>
      </c>
    </row>
    <row r="72">
      <c r="A72" s="53" t="inlineStr">
        <is>
          <t>Area Commander:</t>
        </is>
      </c>
      <c r="B72" s="56" t="n"/>
    </row>
    <row r="73">
      <c r="A73" s="53" t="inlineStr">
        <is>
          <t>Signature:</t>
        </is>
      </c>
      <c r="B73" s="56" t="n"/>
    </row>
    <row r="74">
      <c r="A74" s="53" t="inlineStr">
        <is>
          <t>Date:</t>
        </is>
      </c>
      <c r="B74" s="56" t="n"/>
    </row>
    <row r="75">
      <c r="A75" s="53" t="inlineStr">
        <is>
          <t>Divisional Commander:</t>
        </is>
      </c>
      <c r="B75" s="56" t="n"/>
    </row>
    <row r="76">
      <c r="A76" s="53" t="inlineStr">
        <is>
          <t>Signature:</t>
        </is>
      </c>
      <c r="B76" s="56" t="n"/>
    </row>
    <row r="77">
      <c r="A77" s="53" t="inlineStr">
        <is>
          <t>Date:</t>
        </is>
      </c>
      <c r="B77" s="56" t="n"/>
    </row>
  </sheetData>
  <mergeCells count="65">
    <mergeCell ref="B75:F75"/>
    <mergeCell ref="B7:F7"/>
    <mergeCell ref="B47:F47"/>
    <mergeCell ref="B16:F16"/>
    <mergeCell ref="A66:F66"/>
    <mergeCell ref="B25:F25"/>
    <mergeCell ref="B72:F72"/>
    <mergeCell ref="B59:F59"/>
    <mergeCell ref="B46:F46"/>
    <mergeCell ref="A12:F12"/>
    <mergeCell ref="A50:F50"/>
    <mergeCell ref="A55:F55"/>
    <mergeCell ref="B18:F18"/>
    <mergeCell ref="B27:F27"/>
    <mergeCell ref="B56:F56"/>
    <mergeCell ref="B52:F52"/>
    <mergeCell ref="B21:F21"/>
    <mergeCell ref="A2:F2"/>
    <mergeCell ref="B58:F58"/>
    <mergeCell ref="A71:F71"/>
    <mergeCell ref="B39:F39"/>
    <mergeCell ref="B77:F77"/>
    <mergeCell ref="B48:F48"/>
    <mergeCell ref="B42:F42"/>
    <mergeCell ref="A23:F23"/>
    <mergeCell ref="A32:F32"/>
    <mergeCell ref="B67:F67"/>
    <mergeCell ref="A4:F4"/>
    <mergeCell ref="B8:F8"/>
    <mergeCell ref="A62:F62"/>
    <mergeCell ref="B17:F17"/>
    <mergeCell ref="B57:F57"/>
    <mergeCell ref="A38:F38"/>
    <mergeCell ref="B53:F53"/>
    <mergeCell ref="A63:F63"/>
    <mergeCell ref="B29:F29"/>
    <mergeCell ref="A10:F10"/>
    <mergeCell ref="B69:F69"/>
    <mergeCell ref="B73:F73"/>
    <mergeCell ref="A13:F13"/>
    <mergeCell ref="B34:F34"/>
    <mergeCell ref="A44:F44"/>
    <mergeCell ref="B28:F28"/>
    <mergeCell ref="B19:F19"/>
    <mergeCell ref="B40:F40"/>
    <mergeCell ref="A15:F15"/>
    <mergeCell ref="A64:F64"/>
    <mergeCell ref="B74:F74"/>
    <mergeCell ref="B30:F30"/>
    <mergeCell ref="B68:F68"/>
    <mergeCell ref="A11:F11"/>
    <mergeCell ref="B6:F6"/>
    <mergeCell ref="B24:F24"/>
    <mergeCell ref="B20:F20"/>
    <mergeCell ref="B33:F33"/>
    <mergeCell ref="A1:F1"/>
    <mergeCell ref="B5:F5"/>
    <mergeCell ref="B51:F51"/>
    <mergeCell ref="A61:F61"/>
    <mergeCell ref="B76:F76"/>
    <mergeCell ref="B45:F45"/>
    <mergeCell ref="B36:F36"/>
    <mergeCell ref="B26:F26"/>
    <mergeCell ref="B41:F41"/>
    <mergeCell ref="B35:F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2026-02-26T18:08:54Z</dcterms:created>
  <dcterms:modified xsi:type="dcterms:W3CDTF">2026-02-27T01:25:36Z</dcterms:modified>
</cp:coreProperties>
</file>