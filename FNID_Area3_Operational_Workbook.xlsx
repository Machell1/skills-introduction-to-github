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  <sheet name="DASH_Command" sheetId="2" state="visible" r:id="rId2"/>
    <sheet name="Lookups" sheetId="3" state="visible" r:id="rId3"/>
    <sheet name="tbl_IntelLog" sheetId="4" state="visible" r:id="rId4"/>
    <sheet name="tbl_Operations" sheetId="5" state="visible" r:id="rId5"/>
    <sheet name="tbl_FirearmSeizures" sheetId="6" state="visible" r:id="rId6"/>
    <sheet name="tbl_NarcoticSeizures" sheetId="7" state="visible" r:id="rId7"/>
    <sheet name="tbl_OtherSeizures" sheetId="8" state="visible" r:id="rId8"/>
    <sheet name="tbl_Arrests" sheetId="9" state="visible" r:id="rId9"/>
    <sheet name="tbl_CaseRegistry" sheetId="10" state="visible" r:id="rId10"/>
    <sheet name="tbl_ChainOfCustody" sheetId="11" state="visible" r:id="rId11"/>
    <sheet name="tbl_CaseFiles" sheetId="12" state="visible" r:id="rId12"/>
    <sheet name="tbl_Witnesses" sheetId="13" state="visible" r:id="rId13"/>
    <sheet name="tbl_Informants" sheetId="14" state="visible" r:id="rId14"/>
    <sheet name="tbl_Personnel" sheetId="15" state="visible" r:id="rId15"/>
    <sheet name="tbl_Vehicl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02060"/>
      <sz val="12"/>
    </font>
    <font>
      <name val="Calibri"/>
      <i val="1"/>
      <color rgb="00808080"/>
      <sz val="10"/>
    </font>
    <font>
      <name val="Calibri"/>
      <b val="1"/>
      <color rgb="00C00000"/>
      <sz val="11"/>
    </font>
    <font>
      <name val="Calibri"/>
      <b val="1"/>
      <color rgb="00FFFFFF"/>
      <sz val="12"/>
    </font>
    <font>
      <name val="Calibri"/>
      <b val="1"/>
      <color rgb="00002060"/>
      <sz val="10"/>
    </font>
    <font>
      <name val="Calibri"/>
      <sz val="10"/>
    </font>
    <font>
      <name val="Calibri"/>
      <i val="1"/>
      <color rgb="00808080"/>
      <sz val="9"/>
    </font>
    <font>
      <name val="Calibri"/>
      <b val="1"/>
      <color rgb="00C00000"/>
      <sz val="9"/>
    </font>
    <font>
      <name val="Calibri"/>
      <b val="1"/>
      <color rgb="00FFFFFF"/>
      <sz val="18"/>
    </font>
    <font>
      <name val="Calibri"/>
      <b val="1"/>
      <color rgb="00002060"/>
      <sz val="11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b val="1"/>
      <color rgb="001F3864"/>
      <sz val="14"/>
    </font>
    <font>
      <name val="Calibri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F8F00"/>
      </patternFill>
    </fill>
    <fill>
      <patternFill patternType="solid">
        <fgColor rgb="00C00000"/>
      </patternFill>
    </fill>
    <fill>
      <patternFill patternType="solid">
        <fgColor rgb="002E75B6"/>
      </patternFill>
    </fill>
    <fill>
      <patternFill patternType="solid">
        <fgColor rgb="00538135"/>
      </patternFill>
    </fill>
    <fill>
      <patternFill patternType="solid">
        <fgColor rgb="007030A0"/>
      </patternFill>
    </fill>
    <fill>
      <patternFill patternType="solid">
        <fgColor rgb="00808080"/>
      </patternFill>
    </fill>
    <fill>
      <patternFill patternType="solid">
        <fgColor rgb="0000B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horizontal="left" vertical="top" wrapText="1"/>
    </xf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0" pivotButton="0" quotePrefix="0" xfId="0"/>
    <xf numFmtId="0" fontId="8" fillId="0" borderId="0" applyAlignment="1" pivotButton="0" quotePrefix="0" xfId="0">
      <alignment horizontal="left" vertical="top" wrapText="1"/>
    </xf>
    <xf numFmtId="0" fontId="9" fillId="0" borderId="0" pivotButton="0" quotePrefix="0" xfId="0"/>
    <xf numFmtId="0" fontId="10" fillId="2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2" fillId="3" borderId="0" pivotButton="0" quotePrefix="0" xfId="0"/>
    <xf numFmtId="0" fontId="13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2" fillId="4" borderId="0" pivotButton="0" quotePrefix="0" xfId="0"/>
    <xf numFmtId="0" fontId="13" fillId="4" borderId="1" applyAlignment="1" pivotButton="0" quotePrefix="0" xfId="0">
      <alignment horizontal="center" vertical="center" wrapText="1"/>
    </xf>
    <xf numFmtId="0" fontId="12" fillId="9" borderId="0" pivotButton="0" quotePrefix="0" xfId="0"/>
    <xf numFmtId="0" fontId="13" fillId="9" borderId="1" applyAlignment="1" pivotButton="0" quotePrefix="0" xfId="0">
      <alignment horizontal="center" vertical="center" wrapText="1"/>
    </xf>
    <xf numFmtId="0" fontId="12" fillId="5" borderId="0" pivotButton="0" quotePrefix="0" xfId="0"/>
    <xf numFmtId="0" fontId="13" fillId="5" borderId="1" applyAlignment="1" pivotButton="0" quotePrefix="0" xfId="0">
      <alignment horizontal="center" vertical="center" wrapText="1"/>
    </xf>
    <xf numFmtId="0" fontId="12" fillId="7" borderId="0" pivotButton="0" quotePrefix="0" xfId="0"/>
    <xf numFmtId="0" fontId="13" fillId="7" borderId="1" applyAlignment="1" pivotButton="0" quotePrefix="0" xfId="0">
      <alignment horizontal="center" vertical="center" wrapText="1"/>
    </xf>
    <xf numFmtId="0" fontId="12" fillId="6" borderId="0" pivotButton="0" quotePrefix="0" xfId="0"/>
    <xf numFmtId="0" fontId="13" fillId="6" borderId="1" applyAlignment="1" pivotButton="0" quotePrefix="0" xfId="0">
      <alignment horizontal="center" vertical="center" wrapText="1"/>
    </xf>
    <xf numFmtId="0" fontId="15" fillId="2" borderId="0" pivotButton="0" quotePrefix="0" xfId="0"/>
    <xf numFmtId="0" fontId="15" fillId="2" borderId="1" applyAlignment="1" pivotButton="0" quotePrefix="0" xfId="0">
      <alignment horizontal="center" vertical="center" wrapText="1"/>
    </xf>
    <xf numFmtId="0" fontId="7" fillId="0" borderId="1" pivotButton="0" quotePrefix="0" xfId="0"/>
    <xf numFmtId="164" fontId="7" fillId="0" borderId="1" pivotButton="0" quotePrefix="0" xfId="0"/>
    <xf numFmtId="9" fontId="7" fillId="0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FFC7CE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FFD700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ables/table1.xml><?xml version="1.0" encoding="utf-8"?>
<table xmlns="http://schemas.openxmlformats.org/spreadsheetml/2006/main" id="1" name="tbl_IntelLog" displayName="tbl_IntelLog" ref="A1:W6" headerRowCount="1">
  <autoFilter ref="A1:W6"/>
  <tableColumns count="23">
    <tableColumn id="1" name="IntelID"/>
    <tableColumn id="2" name="DateReceived"/>
    <tableColumn id="3" name="TimeReceived"/>
    <tableColumn id="4" name="Source"/>
    <tableColumn id="5" name="SourceRef"/>
    <tableColumn id="6" name="Priority"/>
    <tableColumn id="7" name="SubjectMatter"/>
    <tableColumn id="8" name="FirearmsRelated"/>
    <tableColumn id="9" name="NarcoticsRelated"/>
    <tableColumn id="10" name="TraffickingRelated"/>
    <tableColumn id="11" name="TargetPerson"/>
    <tableColumn id="12" name="TargetLocation"/>
    <tableColumn id="13" name="Parish"/>
    <tableColumn id="14" name="SubstanceOfIntel"/>
    <tableColumn id="15" name="TriageDecision"/>
    <tableColumn id="16" name="TriageBy"/>
    <tableColumn id="17" name="TriageDate"/>
    <tableColumn id="18" name="LinkedOpID"/>
    <tableColumn id="19" name="LinkedCaseID"/>
    <tableColumn id="20" name="Outcome"/>
    <tableColumn id="21" name="OutcomeNotes"/>
    <tableColumn id="22" name="CreatedBy"/>
    <tableColumn id="23" name="Created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Operations" displayName="tbl_Operations" ref="A1:AG6" headerRowCount="1">
  <autoFilter ref="A1:AG6"/>
  <tableColumns count="33">
    <tableColumn id="1" name="OpsID"/>
    <tableColumn id="2" name="OpsName"/>
    <tableColumn id="3" name="OpsDate"/>
    <tableColumn id="4" name="OpsType"/>
    <tableColumn id="5" name="LinkedIntelID"/>
    <tableColumn id="6" name="Parish"/>
    <tableColumn id="7" name="Location"/>
    <tableColumn id="8" name="WarrantObtained"/>
    <tableColumn id="9" name="WarrantBasis"/>
    <tableColumn id="10" name="WarrantNumber"/>
    <tableColumn id="11" name="IssuingJP"/>
    <tableColumn id="12" name="AuthorizingOfficer"/>
    <tableColumn id="13" name="AuthorizingRank"/>
    <tableColumn id="14" name="TeamLeader"/>
    <tableColumn id="15" name="TeamLeaderRank"/>
    <tableColumn id="16" name="TeamSize"/>
    <tableColumn id="17" name="InspectorPresent"/>
    <tableColumn id="18" name="BodyCamActivated"/>
    <tableColumn id="19" name="StartTime"/>
    <tableColumn id="20" name="EndTime"/>
    <tableColumn id="21" name="Outcome"/>
    <tableColumn id="22" name="FirearmsSeized"/>
    <tableColumn id="23" name="AmmunitionSeized"/>
    <tableColumn id="24" name="NarcoticsSeized_kg"/>
    <tableColumn id="25" name="CashSeized_JMD"/>
    <tableColumn id="26" name="VehiclesSeized"/>
    <tableColumn id="27" name="OtherExhibits"/>
    <tableColumn id="28" name="ArrestsMade"/>
    <tableColumn id="29" name="AfterActionCompleted"/>
    <tableColumn id="30" name="AfterActionNotes"/>
    <tableColumn id="31" name="INCOMPlianceFlags"/>
    <tableColumn id="32" name="CreatedBy"/>
    <tableColumn id="33" name="Created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FirearmSeizures" displayName="tbl_FirearmSeizures" ref="A1:AM6" headerRowCount="1">
  <autoFilter ref="A1:AM6"/>
  <tableColumns count="39">
    <tableColumn id="1" name="SeizureID"/>
    <tableColumn id="2" name="LinkedOpsID"/>
    <tableColumn id="3" name="LinkedCaseID"/>
    <tableColumn id="4" name="SeizureDate"/>
    <tableColumn id="5" name="SeizureLocation"/>
    <tableColumn id="6" name="Parish"/>
    <tableColumn id="7" name="FirearmType"/>
    <tableColumn id="8" name="Make"/>
    <tableColumn id="9" name="Model"/>
    <tableColumn id="10" name="Calibre"/>
    <tableColumn id="11" name="SerialNumber"/>
    <tableColumn id="12" name="SerialStatus"/>
    <tableColumn id="13" name="Condition"/>
    <tableColumn id="14" name="Loaded"/>
    <tableColumn id="15" name="RoundsChamber"/>
    <tableColumn id="16" name="MagazineCapacity"/>
    <tableColumn id="17" name="IBIS_Submitted"/>
    <tableColumn id="18" name="IBIS_SubmitDate"/>
    <tableColumn id="19" name="IBIS_Status"/>
    <tableColumn id="20" name="IBIS_MatchCaseID"/>
    <tableColumn id="21" name="IBIS_MatchDetails"/>
    <tableColumn id="22" name="eTrace_Submitted"/>
    <tableColumn id="23" name="eTrace_Status"/>
    <tableColumn id="24" name="eTrace_TraceNumber"/>
    <tableColumn id="25" name="CountryOfOrigin"/>
    <tableColumn id="26" name="LastKnownPurchaser"/>
    <tableColumn id="27" name="US_State"/>
    <tableColumn id="28" name="BallisticCertStatus"/>
    <tableColumn id="29" name="BallisticCertDate"/>
    <tableColumn id="30" name="BallisticExaminer"/>
    <tableColumn id="31" name="BallisticResult"/>
    <tableColumn id="32" name="ForensicRecoveryBag"/>
    <tableColumn id="33" name="EvidencePhotographed"/>
    <tableColumn id="34" name="MarkedByCommissioner"/>
    <tableColumn id="35" name="CourtReady"/>
    <tableColumn id="36" name="DisposalStatus"/>
    <tableColumn id="37" name="SeizingOfficer"/>
    <tableColumn id="38" name="CreatedBy"/>
    <tableColumn id="39" name="Created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NarcoticSeizures" displayName="tbl_NarcoticSeizures" ref="A1:AE6" headerRowCount="1">
  <autoFilter ref="A1:AE6"/>
  <tableColumns count="31">
    <tableColumn id="1" name="SeizureID"/>
    <tableColumn id="2" name="LinkedOpsID"/>
    <tableColumn id="3" name="LinkedCaseID"/>
    <tableColumn id="4" name="SeizureDate"/>
    <tableColumn id="5" name="SeizureLocation"/>
    <tableColumn id="6" name="Parish"/>
    <tableColumn id="7" name="DrugType"/>
    <tableColumn id="8" name="Quantity"/>
    <tableColumn id="9" name="Unit"/>
    <tableColumn id="10" name="PackagingDesc"/>
    <tableColumn id="11" name="EstStreetValue_JMD"/>
    <tableColumn id="12" name="Concealment"/>
    <tableColumn id="13" name="FieldTestConducted"/>
    <tableColumn id="14" name="FieldTestResult"/>
    <tableColumn id="15" name="SubmittedToIFSLM"/>
    <tableColumn id="16" name="IFSLM_SubmitDate"/>
    <tableColumn id="17" name="IFSLM_LabNumber"/>
    <tableColumn id="18" name="ForensicCertStatus"/>
    <tableColumn id="19" name="ForensicCertDate"/>
    <tableColumn id="20" name="ForensicResult"/>
    <tableColumn id="21" name="AnalystName"/>
    <tableColumn id="22" name="LinkedToGunTrade"/>
    <tableColumn id="23" name="EstEquivFirearms"/>
    <tableColumn id="24" name="DisposalAuthorized"/>
    <tableColumn id="25" name="DisposalAuthorizedBy"/>
    <tableColumn id="26" name="DisposalDate"/>
    <tableColumn id="27" name="DisposalWitnesses"/>
    <tableColumn id="28" name="CourtReady"/>
    <tableColumn id="29" name="SeizingOfficer"/>
    <tableColumn id="30" name="CreatedBy"/>
    <tableColumn id="31" name="CreatedD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OtherSeizures" displayName="tbl_OtherSeizures" ref="A1:U6" headerRowCount="1">
  <autoFilter ref="A1:U6"/>
  <tableColumns count="21">
    <tableColumn id="1" name="SeizureID"/>
    <tableColumn id="2" name="LinkedOpsID"/>
    <tableColumn id="3" name="LinkedCaseID"/>
    <tableColumn id="4" name="SeizureDate"/>
    <tableColumn id="5" name="ItemType"/>
    <tableColumn id="6" name="Description"/>
    <tableColumn id="7" name="Quantity"/>
    <tableColumn id="8" name="Calibre"/>
    <tableColumn id="9" name="SerialNumber"/>
    <tableColumn id="10" name="SeizureLocation"/>
    <tableColumn id="11" name="Parish"/>
    <tableColumn id="12" name="ForensicSubmitted"/>
    <tableColumn id="13" name="ForensicStatus"/>
    <tableColumn id="14" name="CourtReady"/>
    <tableColumn id="15" name="DisposalStatus"/>
    <tableColumn id="16" name="EstValue_JMD"/>
    <tableColumn id="17" name="POCARelevant"/>
    <tableColumn id="18" name="SeizingOfficer"/>
    <tableColumn id="19" name="Notes"/>
    <tableColumn id="20" name="CreatedBy"/>
    <tableColumn id="21" name="CreatedD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Arrests" displayName="tbl_Arrests" ref="A1:AJ6" headerRowCount="1">
  <autoFilter ref="A1:AJ6"/>
  <tableColumns count="36">
    <tableColumn id="1" name="ArrestID"/>
    <tableColumn id="2" name="LinkedOpsID"/>
    <tableColumn id="3" name="LinkedCaseID"/>
    <tableColumn id="4" name="ArrestDate"/>
    <tableColumn id="5" name="ArrestTime"/>
    <tableColumn id="6" name="ArrestLocation"/>
    <tableColumn id="7" name="Parish"/>
    <tableColumn id="8" name="SuspectName"/>
    <tableColumn id="9" name="DOB"/>
    <tableColumn id="10" name="Gender"/>
    <tableColumn id="11" name="Address"/>
    <tableColumn id="12" name="NationalID_TRN"/>
    <tableColumn id="13" name="PriorConvictions"/>
    <tableColumn id="14" name="CautionAdministered"/>
    <tableColumn id="15" name="CautionTime"/>
    <tableColumn id="16" name="ChargeDate"/>
    <tableColumn id="17" name="ChargeTime"/>
    <tableColumn id="18" name="PrimaryOffence"/>
    <tableColumn id="19" name="SecondaryOffence"/>
    <tableColumn id="20" name="ActSection"/>
    <tableColumn id="21" name="48hr_Deadline"/>
    <tableColumn id="22" name="FirstCourtAppearance"/>
    <tableColumn id="23" name="48hr_Met"/>
    <tableColumn id="24" name="CourtType"/>
    <tableColumn id="25" name="CourtLocation"/>
    <tableColumn id="26" name="BailStatus"/>
    <tableColumn id="27" name="BailAmount_JMD"/>
    <tableColumn id="28" name="BailConditions"/>
    <tableColumn id="29" name="RemandFacility"/>
    <tableColumn id="30" name="StopOrderIssued"/>
    <tableColumn id="31" name="POCAStatus"/>
    <tableColumn id="32" name="POCARef"/>
    <tableColumn id="33" name="ArrestingOfficer"/>
    <tableColumn id="34" name="Notes"/>
    <tableColumn id="35" name="CreatedBy"/>
    <tableColumn id="36" name="CreatedDa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CaseRegistry" displayName="tbl_CaseRegistry" ref="A1:AY6" headerRowCount="1">
  <autoFilter ref="A1:AY6"/>
  <tableColumns count="51">
    <tableColumn id="1" name="CaseRegID"/>
    <tableColumn id="2" name="CaseFileNumber"/>
    <tableColumn id="3" name="DateOpened"/>
    <tableColumn id="4" name="CaseClassification"/>
    <tableColumn id="5" name="CasePriority"/>
    <tableColumn id="6" name="CaseStatus"/>
    <tableColumn id="7" name="InvestigationType"/>
    <tableColumn id="8" name="PrimaryOffence"/>
    <tableColumn id="9" name="ActSection"/>
    <tableColumn id="10" name="LinkedIntelIDs"/>
    <tableColumn id="11" name="LinkedOpsIDs"/>
    <tableColumn id="12" name="LinkedArrestIDs"/>
    <tableColumn id="13" name="LinkedFirearmSeizureIDs"/>
    <tableColumn id="14" name="LinkedNarcoticSeizureIDs"/>
    <tableColumn id="15" name="LinkedDPPCaseFileID"/>
    <tableColumn id="16" name="InvestigatingOfficer"/>
    <tableColumn id="17" name="InvestigatingOfficerRank"/>
    <tableColumn id="18" name="Supervisor"/>
    <tableColumn id="19" name="DateAssigned"/>
    <tableColumn id="20" name="Parish"/>
    <tableColumn id="21" name="Division"/>
    <tableColumn id="22" name="TargetPerson"/>
    <tableColumn id="23" name="TargetOrganisation"/>
    <tableColumn id="24" name="GangAffiliation"/>
    <tableColumn id="25" name="SceneExamComplete"/>
    <tableColumn id="26" name="WitnessStatementsTaken"/>
    <tableColumn id="27" name="ForensicEvidenceSubmitted"/>
    <tableColumn id="28" name="ForensicResultsReceived"/>
    <tableColumn id="29" name="SurveillanceConducted"/>
    <tableColumn id="30" name="PhoneRecordsObtained"/>
    <tableColumn id="31" name="FinancialRecordsObtained"/>
    <tableColumn id="32" name="CCTVFootageObtained"/>
    <tableColumn id="33" name="DigitalForensicsComplete"/>
    <tableColumn id="34" name="InvestigationProgress"/>
    <tableColumn id="35" name="LastActivityDate"/>
    <tableColumn id="36" name="NextActionRequired"/>
    <tableColumn id="37" name="NextActionDeadline"/>
    <tableColumn id="38" name="LastReviewDate"/>
    <tableColumn id="39" name="ReviewedBy"/>
    <tableColumn id="40" name="ReviewNotes"/>
    <tableColumn id="41" name="Escalated"/>
    <tableColumn id="42" name="EscalatedTo"/>
    <tableColumn id="43" name="EscalationReason"/>
    <tableColumn id="44" name="ColdCaseReviewDate"/>
    <tableColumn id="45" name="ColdCaseReviewedBy"/>
    <tableColumn id="46" name="ResolutionDate"/>
    <tableColumn id="47" name="ResolutionSummary"/>
    <tableColumn id="48" name="DaysOpen"/>
    <tableColumn id="49" name="Notes"/>
    <tableColumn id="50" name="CreatedBy"/>
    <tableColumn id="51" name="Created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ChainOfCustody" displayName="tbl_ChainOfCustody" ref="A1:S6" headerRowCount="1">
  <autoFilter ref="A1:S6"/>
  <tableColumns count="19">
    <tableColumn id="1" name="TransferID"/>
    <tableColumn id="2" name="ExhibitRef"/>
    <tableColumn id="3" name="ExhibitType"/>
    <tableColumn id="4" name="ExhibitDescription"/>
    <tableColumn id="5" name="LinkedCaseID"/>
    <tableColumn id="6" name="TransferDate"/>
    <tableColumn id="7" name="TransferTime"/>
    <tableColumn id="8" name="ReleasedBy"/>
    <tableColumn id="9" name="ReleasedByRank"/>
    <tableColumn id="10" name="ReceivedBy"/>
    <tableColumn id="11" name="ReceivedByRank"/>
    <tableColumn id="12" name="Location_From"/>
    <tableColumn id="13" name="Location_To"/>
    <tableColumn id="14" name="Reason"/>
    <tableColumn id="15" name="ForensicRecoveryBag"/>
    <tableColumn id="16" name="ConditionOnTransfer"/>
    <tableColumn id="17" name="SignedReceiptObtained"/>
    <tableColumn id="18" name="Notes"/>
    <tableColumn id="19" name="CreatedDa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CaseFiles" displayName="tbl_CaseFiles" ref="A1:AI6" headerRowCount="1">
  <autoFilter ref="A1:AI6"/>
  <tableColumns count="35">
    <tableColumn id="1" name="CaseFileID"/>
    <tableColumn id="2" name="LinkedOpsID"/>
    <tableColumn id="3" name="CaseType"/>
    <tableColumn id="4" name="PrimaryOffence"/>
    <tableColumn id="5" name="ActSection"/>
    <tableColumn id="6" name="InvestigatingOfficer"/>
    <tableColumn id="7" name="Supervisor"/>
    <tableColumn id="8" name="ArrestIDs"/>
    <tableColumn id="9" name="FirearmSeizureIDs"/>
    <tableColumn id="10" name="NarcoticSeizureIDs"/>
    <tableColumn id="11" name="OtherSeizureIDs"/>
    <tableColumn id="12" name="StatementsComplete"/>
    <tableColumn id="13" name="ForensicCertObtained"/>
    <tableColumn id="14" name="BallisticCertObtained"/>
    <tableColumn id="15" name="PostMortemObtained"/>
    <tableColumn id="16" name="DisclosureComplete"/>
    <tableColumn id="17" name="FileInTriplicate"/>
    <tableColumn id="18" name="DPPSubmitDate"/>
    <tableColumn id="19" name="DPPStatus"/>
    <tableColumn id="20" name="CrownCounselAssigned"/>
    <tableColumn id="21" name="DPPRulingDate"/>
    <tableColumn id="22" name="DPPRuling"/>
    <tableColumn id="23" name="ChargesApproved"/>
    <tableColumn id="24" name="CourtType"/>
    <tableColumn id="25" name="FirstHearingDate"/>
    <tableColumn id="26" name="NextHearingDate"/>
    <tableColumn id="27" name="CourtOutcome"/>
    <tableColumn id="28" name="SentenceIfConvicted"/>
    <tableColumn id="29" name="POCAStatus"/>
    <tableColumn id="30" name="POCAAmount_JMD"/>
    <tableColumn id="31" name="DaysInPipeline"/>
    <tableColumn id="32" name="FileCompletenessScore"/>
    <tableColumn id="33" name="Notes"/>
    <tableColumn id="34" name="CreatedBy"/>
    <tableColumn id="35" name="CreatedDa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_Witnesses" displayName="tbl_Witnesses" ref="A1:V6" headerRowCount="1">
  <autoFilter ref="A1:V6"/>
  <tableColumns count="22">
    <tableColumn id="1" name="WitnessID"/>
    <tableColumn id="2" name="LinkedCaseFileID"/>
    <tableColumn id="3" name="WitnessName"/>
    <tableColumn id="4" name="ContactNumber"/>
    <tableColumn id="5" name="Address"/>
    <tableColumn id="6" name="Parish"/>
    <tableColumn id="7" name="WitnessType"/>
    <tableColumn id="8" name="StatementTaken"/>
    <tableColumn id="9" name="StatementDate"/>
    <tableColumn id="10" name="CautionGiven"/>
    <tableColumn id="11" name="WillingToTestify"/>
    <tableColumn id="12" name="ProtectionRequired"/>
    <tableColumn id="13" name="WitnessProtectionReferred"/>
    <tableColumn id="14" name="SummonsIssued"/>
    <tableColumn id="15" name="SummonsServed"/>
    <tableColumn id="16" name="SummonsServedDate"/>
    <tableColumn id="17" name="Vulnerable"/>
    <tableColumn id="18" name="IntimidationReported"/>
    <tableColumn id="19" name="CourtAppearanceDate"/>
    <tableColumn id="20" name="Notes"/>
    <tableColumn id="21" name="CreatedBy"/>
    <tableColumn id="22" name="CreatedDat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_Informants" displayName="tbl_Informants" ref="A1:R6" headerRowCount="1">
  <autoFilter ref="A1:R6"/>
  <tableColumns count="18">
    <tableColumn id="1" name="InformantCode"/>
    <tableColumn id="2" name="Status"/>
    <tableColumn id="3" name="RegisteredDate"/>
    <tableColumn id="4" name="Handler"/>
    <tableColumn id="5" name="HandlerRank"/>
    <tableColumn id="6" name="Parish"/>
    <tableColumn id="7" name="Territory"/>
    <tableColumn id="8" name="ReliabilityRating"/>
    <tableColumn id="9" name="TotalTips"/>
    <tableColumn id="10" name="TipsToOperations"/>
    <tableColumn id="11" name="TipsToSeizures"/>
    <tableColumn id="12" name="TipsToArrests"/>
    <tableColumn id="13" name="LastContactDate"/>
    <tableColumn id="14" name="NextContactDue"/>
    <tableColumn id="15" name="PolygraphDate"/>
    <tableColumn id="16" name="PolygraphResult"/>
    <tableColumn id="17" name="Notes"/>
    <tableColumn id="18" name="CreatedBy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_Personnel" displayName="tbl_Personnel" ref="A1:P6" headerRowCount="1">
  <autoFilter ref="A1:P6"/>
  <tableColumns count="16">
    <tableColumn id="1" name="PersonnelID"/>
    <tableColumn id="2" name="RegNo"/>
    <tableColumn id="3" name="Rank"/>
    <tableColumn id="4" name="Name"/>
    <tableColumn id="5" name="Unit"/>
    <tableColumn id="6" name="Assignment"/>
    <tableColumn id="7" name="Status"/>
    <tableColumn id="8" name="PolygraphDate"/>
    <tableColumn id="9" name="PolygraphResult"/>
    <tableColumn id="10" name="FirearmsQualified"/>
    <tableColumn id="11" name="TacticalTraining"/>
    <tableColumn id="12" name="CourtTestimonyTrained"/>
    <tableColumn id="13" name="JoinedFNID"/>
    <tableColumn id="14" name="PriorPosting"/>
    <tableColumn id="15" name="Phone"/>
    <tableColumn id="16" name="Not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_Vehicles" displayName="tbl_Vehicles" ref="A1:O6" headerRowCount="1">
  <autoFilter ref="A1:O6"/>
  <tableColumns count="15">
    <tableColumn id="1" name="VehicleID"/>
    <tableColumn id="2" name="Registration"/>
    <tableColumn id="3" name="Make"/>
    <tableColumn id="4" name="Model"/>
    <tableColumn id="5" name="Year"/>
    <tableColumn id="6" name="Type"/>
    <tableColumn id="7" name="Status"/>
    <tableColumn id="8" name="AssignedTo"/>
    <tableColumn id="9" name="FuelType"/>
    <tableColumn id="10" name="LastServiceDate"/>
    <tableColumn id="11" name="NextServiceDue"/>
    <tableColumn id="12" name="InsuranceExpiry"/>
    <tableColumn id="13" name="FitnessExpiry"/>
    <tableColumn id="14" name="Source"/>
    <tableColumn id="15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2" customHeight="1">
      <c r="A1" s="1" t="inlineStr">
        <is>
          <t>JAMAICA CONSTABULARY FORCE - FIREARM AND NARCOTICS INVESTIGATION DIVISION</t>
        </is>
      </c>
    </row>
    <row r="2">
      <c r="A2" s="2" t="inlineStr">
        <is>
          <t>AREA 3 (Manchester | St. Elizabeth | Clarendon) - OPERATIONAL WORKBOOK v2.1</t>
        </is>
      </c>
    </row>
    <row r="3">
      <c r="A3" s="3" t="inlineStr">
        <is>
          <t>Director: SSP Patrae Rowe | Commissioner: Dr. Kevin Blake | FNID Direct: 876-923-6184</t>
        </is>
      </c>
    </row>
    <row r="4">
      <c r="A4" s="4" t="inlineStr">
        <is>
          <t>INTELLIGENCE &gt; OPERATION &gt; SEIZURE &gt; ARREST &gt; FORENSICS &gt; DPP &gt; COURT &gt; CONVICTION</t>
        </is>
      </c>
    </row>
    <row r="6" ht="26" customHeight="1">
      <c r="A6" s="5" t="inlineStr">
        <is>
          <t>DAILY COMMAND</t>
        </is>
      </c>
    </row>
    <row r="7">
      <c r="A7" s="6" t="inlineStr">
        <is>
          <t xml:space="preserve">  &gt; DASH_Command</t>
        </is>
      </c>
      <c r="B7" s="7" t="inlineStr">
        <is>
          <t>Daily Command Dashboard - all key metrics at a glance</t>
        </is>
      </c>
    </row>
    <row r="9" ht="26" customHeight="1">
      <c r="A9" s="8" t="inlineStr">
        <is>
          <t>STAGE 1: INTELLIGENCE</t>
        </is>
      </c>
    </row>
    <row r="10">
      <c r="A10" s="6" t="inlineStr">
        <is>
          <t xml:space="preserve">  &gt; tbl_IntelLog</t>
        </is>
      </c>
      <c r="B10" s="7" t="inlineStr">
        <is>
          <t>Intelligence Log - Crime Stop, NIB, DEA, JCA, informant tips</t>
        </is>
      </c>
    </row>
    <row r="11">
      <c r="A11" s="6" t="inlineStr">
        <is>
          <t xml:space="preserve">  &gt; tbl_Informants</t>
        </is>
      </c>
      <c r="B11" s="7" t="inlineStr">
        <is>
          <t>Informant Register - RESTRICTED ACCESS (code names only)</t>
        </is>
      </c>
    </row>
    <row r="13" ht="26" customHeight="1">
      <c r="A13" s="9" t="inlineStr">
        <is>
          <t>STAGE 2: OPERATIONS</t>
        </is>
      </c>
    </row>
    <row r="14">
      <c r="A14" s="6" t="inlineStr">
        <is>
          <t xml:space="preserve">  &gt; tbl_Operations</t>
        </is>
      </c>
      <c r="B14" s="7" t="inlineStr">
        <is>
          <t>Operation Register - warrants, teams, execution, outcomes</t>
        </is>
      </c>
    </row>
    <row r="16" ht="26" customHeight="1">
      <c r="A16" s="9" t="inlineStr">
        <is>
          <t>STAGE 3: SEIZURES</t>
        </is>
      </c>
    </row>
    <row r="17">
      <c r="A17" s="6" t="inlineStr">
        <is>
          <t xml:space="preserve">  &gt; tbl_FirearmSeizures</t>
        </is>
      </c>
      <c r="B17" s="7" t="inlineStr">
        <is>
          <t>Firearm Seizure Log - IBIS, eTrace, ballistic cert tracking</t>
        </is>
      </c>
    </row>
    <row r="18">
      <c r="A18" s="6" t="inlineStr">
        <is>
          <t xml:space="preserve">  &gt; tbl_NarcoticSeizures</t>
        </is>
      </c>
      <c r="B18" s="7" t="inlineStr">
        <is>
          <t>Narcotics Seizure Log - field test, IFSLM, forensic cert, disposal</t>
        </is>
      </c>
    </row>
    <row r="19">
      <c r="A19" s="6" t="inlineStr">
        <is>
          <t xml:space="preserve">  &gt; tbl_OtherSeizures</t>
        </is>
      </c>
      <c r="B19" s="7" t="inlineStr">
        <is>
          <t>Ammunition, Cash, Electronics, Vehicles - other exhibits</t>
        </is>
      </c>
    </row>
    <row r="21" ht="26" customHeight="1">
      <c r="A21" s="9" t="inlineStr">
        <is>
          <t>STAGE 4: ARRESTS</t>
        </is>
      </c>
    </row>
    <row r="22">
      <c r="A22" s="6" t="inlineStr">
        <is>
          <t xml:space="preserve">  &gt; tbl_Arrests</t>
        </is>
      </c>
      <c r="B22" s="7" t="inlineStr">
        <is>
          <t>Arrest Register - 48hr rule, charge, caution, bail, court routing</t>
        </is>
      </c>
    </row>
    <row r="24" ht="26" customHeight="1">
      <c r="A24" s="10" t="inlineStr">
        <is>
          <t>STAGE 5: CASE REGISTRY &amp; INVESTIGATIONS</t>
        </is>
      </c>
    </row>
    <row r="25">
      <c r="A25" s="6" t="inlineStr">
        <is>
          <t xml:space="preserve">  &gt; tbl_CaseRegistry</t>
        </is>
      </c>
      <c r="B25" s="7" t="inlineStr">
        <is>
          <t>Master Case File Registry - every case, investigation milestones, progress tracking</t>
        </is>
      </c>
    </row>
    <row r="27" ht="26" customHeight="1">
      <c r="A27" s="11" t="inlineStr">
        <is>
          <t>STAGE 6: EVIDENCE &amp; FORENSICS</t>
        </is>
      </c>
    </row>
    <row r="28">
      <c r="A28" s="6" t="inlineStr">
        <is>
          <t xml:space="preserve">  &gt; tbl_ChainOfCustody</t>
        </is>
      </c>
      <c r="B28" s="7" t="inlineStr">
        <is>
          <t>Exhibit Chain of Custody - every handover logged</t>
        </is>
      </c>
    </row>
    <row r="30" ht="26" customHeight="1">
      <c r="A30" s="12" t="inlineStr">
        <is>
          <t>STAGE 7: DPP &amp; COURT</t>
        </is>
      </c>
    </row>
    <row r="31">
      <c r="A31" s="6" t="inlineStr">
        <is>
          <t xml:space="preserve">  &gt; tbl_CaseFiles</t>
        </is>
      </c>
      <c r="B31" s="7" t="inlineStr">
        <is>
          <t>Case File Tracker - DPP submission pipeline, completeness scoring</t>
        </is>
      </c>
    </row>
    <row r="32">
      <c r="A32" s="6" t="inlineStr">
        <is>
          <t xml:space="preserve">  &gt; tbl_Witnesses</t>
        </is>
      </c>
      <c r="B32" s="7" t="inlineStr">
        <is>
          <t>Witness &amp; Statement Register - testimony, protection, summons</t>
        </is>
      </c>
    </row>
    <row r="34" ht="26" customHeight="1">
      <c r="A34" s="13" t="inlineStr">
        <is>
          <t>SUPPORT</t>
        </is>
      </c>
    </row>
    <row r="35">
      <c r="A35" s="6" t="inlineStr">
        <is>
          <t xml:space="preserve">  &gt; tbl_Personnel</t>
        </is>
      </c>
      <c r="B35" s="7" t="inlineStr">
        <is>
          <t>Personnel Register - staff, qualifications, polygraph</t>
        </is>
      </c>
    </row>
    <row r="36">
      <c r="A36" s="6" t="inlineStr">
        <is>
          <t xml:space="preserve">  &gt; tbl_Vehicles</t>
        </is>
      </c>
      <c r="B36" s="7" t="inlineStr">
        <is>
          <t>Vehicle/Fleet Log - status, service, fitness</t>
        </is>
      </c>
    </row>
    <row r="37">
      <c r="A37" s="6" t="inlineStr">
        <is>
          <t xml:space="preserve">  &gt; Lookups</t>
        </is>
      </c>
      <c r="B37" s="7" t="inlineStr">
        <is>
          <t>Reference Data - Jamaica-specific lookups</t>
        </is>
      </c>
    </row>
    <row r="40">
      <c r="A40" s="14" t="inlineStr">
        <is>
          <t>LEGAL FRAMEWORK: Firearms (Prohibition, Restriction and Regulation) Act 2022 | Dangerous Drugs Act (as amended 2015) | Gun Court Act 1974 | Proceeds of Crime Act 2007 | Bail Act 2023 | Constabulary Force Act s.15 (48-Hour Rule)</t>
        </is>
      </c>
    </row>
    <row r="41">
      <c r="A41" s="15" t="inlineStr">
        <is>
          <t>CONFIDENTIAL - FOR OFFICIAL USE ONLY | FNID Area 3 | Search warrants under Section 91, Firearms Act 2022</t>
        </is>
      </c>
    </row>
  </sheetData>
  <mergeCells count="30">
    <mergeCell ref="A9:H9"/>
    <mergeCell ref="A30:H30"/>
    <mergeCell ref="A24:H24"/>
    <mergeCell ref="A1:H1"/>
    <mergeCell ref="A6:H6"/>
    <mergeCell ref="B36:H36"/>
    <mergeCell ref="B32:H32"/>
    <mergeCell ref="B35:H35"/>
    <mergeCell ref="A16:H16"/>
    <mergeCell ref="A41:H41"/>
    <mergeCell ref="B7:H7"/>
    <mergeCell ref="B25:H25"/>
    <mergeCell ref="A27:H27"/>
    <mergeCell ref="B31:H31"/>
    <mergeCell ref="B22:H22"/>
    <mergeCell ref="A3:H3"/>
    <mergeCell ref="A21:H21"/>
    <mergeCell ref="B18:H18"/>
    <mergeCell ref="A2:H2"/>
    <mergeCell ref="B11:H11"/>
    <mergeCell ref="A40:H40"/>
    <mergeCell ref="A4:H4"/>
    <mergeCell ref="B14:H14"/>
    <mergeCell ref="B17:H17"/>
    <mergeCell ref="A13:H13"/>
    <mergeCell ref="B10:H10"/>
    <mergeCell ref="B19:H19"/>
    <mergeCell ref="B37:H37"/>
    <mergeCell ref="B28:H28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42" customHeight="1">
      <c r="A1" s="16" t="inlineStr">
        <is>
          <t>FNID AREA 3 - DAILY COMMAND DASHBOARD</t>
        </is>
      </c>
    </row>
    <row r="2">
      <c r="A2" s="17" t="inlineStr">
        <is>
          <t>Intelligence &gt; Operations &gt; Seizures &gt; Arrests &gt; Forensics &gt; DPP &gt; Court</t>
        </is>
      </c>
    </row>
    <row r="4">
      <c r="A4" s="18" t="inlineStr">
        <is>
          <t>INTELLIGENCE PIPELINE</t>
        </is>
      </c>
    </row>
    <row r="5">
      <c r="A5" s="19" t="inlineStr">
        <is>
          <t>Total Intel (YTD)</t>
        </is>
      </c>
      <c r="B5" s="19" t="inlineStr">
        <is>
          <t>Pending Triage</t>
        </is>
      </c>
      <c r="C5" s="19" t="inlineStr">
        <is>
          <t>Critical/High</t>
        </is>
      </c>
      <c r="D5" s="19" t="inlineStr">
        <is>
          <t>Firearms-Related</t>
        </is>
      </c>
      <c r="E5" s="19" t="inlineStr">
        <is>
          <t>Narcotics-Related</t>
        </is>
      </c>
      <c r="F5" s="19" t="inlineStr">
        <is>
          <t>Trafficking Intel</t>
        </is>
      </c>
      <c r="G5" s="19" t="inlineStr">
        <is>
          <t>Converted to Op</t>
        </is>
      </c>
      <c r="H5" s="19" t="inlineStr">
        <is>
          <t>Conversion Rate</t>
        </is>
      </c>
    </row>
    <row r="6">
      <c r="A6" s="20">
        <f>COUNTA(tbl_IntelLog[IntelID])-COUNTBLANK(tbl_IntelLog[IntelID])</f>
        <v/>
      </c>
      <c r="B6" s="20">
        <f>COUNTBLANK(tbl_IntelLog[TriageDecision])</f>
        <v/>
      </c>
      <c r="C6" s="20">
        <f>COUNTIF(tbl_IntelLog[Priority],"Critical")+COUNTIF(tbl_IntelLog[Priority],"High")</f>
        <v/>
      </c>
      <c r="D6" s="20">
        <f>COUNTIF(tbl_IntelLog[FirearmsRelated],"Yes")</f>
        <v/>
      </c>
      <c r="E6" s="20">
        <f>COUNTIF(tbl_IntelLog[NarcoticsRelated],"Yes")</f>
        <v/>
      </c>
      <c r="F6" s="20">
        <f>COUNTIF(tbl_IntelLog[TraffickingRelated],"Yes")</f>
        <v/>
      </c>
      <c r="G6" s="20">
        <f>COUNTIF(tbl_IntelLog[TriageDecision],"Action*")</f>
        <v/>
      </c>
      <c r="H6" s="20">
        <f>IFERROR(COUNTIF(tbl_IntelLog[TriageDecision],"Action*")/(COUNTA(tbl_IntelLog[IntelID])-COUNTBLANK(tbl_IntelLog[IntelID])),"-")</f>
        <v/>
      </c>
    </row>
    <row r="8">
      <c r="A8" s="21" t="inlineStr">
        <is>
          <t>OPERATIONS</t>
        </is>
      </c>
    </row>
    <row r="9">
      <c r="A9" s="22" t="inlineStr">
        <is>
          <t>Total Ops (YTD)</t>
        </is>
      </c>
      <c r="B9" s="22" t="inlineStr">
        <is>
          <t>Search Warrants</t>
        </is>
      </c>
      <c r="C9" s="22" t="inlineStr">
        <is>
          <t>Port/Cargo</t>
        </is>
      </c>
      <c r="D9" s="22" t="inlineStr">
        <is>
          <t>Vehicle Intercepts</t>
        </is>
      </c>
      <c r="E9" s="22" t="inlineStr">
        <is>
          <t>Joint Ops</t>
        </is>
      </c>
      <c r="F9" s="22" t="inlineStr">
        <is>
          <t>Success Rate</t>
        </is>
      </c>
      <c r="G9" s="22" t="inlineStr">
        <is>
          <t>Inspector Present %</t>
        </is>
      </c>
      <c r="H9" s="22" t="inlineStr">
        <is>
          <t>Body Cam Active %</t>
        </is>
      </c>
    </row>
    <row r="10">
      <c r="A10" s="20">
        <f>COUNTA(tbl_Operations[OpsID])-COUNTBLANK(tbl_Operations[OpsID])</f>
        <v/>
      </c>
      <c r="B10" s="20">
        <f>COUNTIF(tbl_Operations[OpsType],"Search Warrant*")</f>
        <v/>
      </c>
      <c r="C10" s="20">
        <f>COUNTIF(tbl_Operations[OpsType],"Port*")+COUNTIF(tbl_Operations[OpsType],"Airport*")</f>
        <v/>
      </c>
      <c r="D10" s="20">
        <f>COUNTIF(tbl_Operations[OpsType],"Vehicle*")</f>
        <v/>
      </c>
      <c r="E10" s="20">
        <f>COUNTIF(tbl_Operations[OpsType],"Joint*")</f>
        <v/>
      </c>
      <c r="F10" s="20">
        <f>IFERROR(COUNTIF(tbl_Operations[Outcome],"Successful*")/(COUNTA(tbl_Operations[OpsID])-COUNTBLANK(tbl_Operations[OpsID])),"-")</f>
        <v/>
      </c>
      <c r="G10" s="20">
        <f>IFERROR(COUNTIF(tbl_Operations[InspectorPresent],"Yes")/COUNTA(tbl_Operations[InspectorPresent]),"-")</f>
        <v/>
      </c>
      <c r="H10" s="20">
        <f>IFERROR(COUNTIF(tbl_Operations[BodyCamActivated],"Yes")/COUNTA(tbl_Operations[BodyCamActivated]),"-")</f>
        <v/>
      </c>
    </row>
    <row r="12">
      <c r="A12" s="21" t="inlineStr">
        <is>
          <t>FIREARMS SEIZURES</t>
        </is>
      </c>
    </row>
    <row r="13">
      <c r="A13" s="22" t="inlineStr">
        <is>
          <t>Firearms Seized</t>
        </is>
      </c>
      <c r="B13" s="22" t="inlineStr">
        <is>
          <t>Pistols</t>
        </is>
      </c>
      <c r="C13" s="22" t="inlineStr">
        <is>
          <t>Rifles</t>
        </is>
      </c>
      <c r="D13" s="22" t="inlineStr">
        <is>
          <t>Shotguns</t>
        </is>
      </c>
      <c r="E13" s="22" t="inlineStr">
        <is>
          <t>IBIS Hits</t>
        </is>
      </c>
      <c r="F13" s="22" t="inlineStr">
        <is>
          <t>eTrace Complete</t>
        </is>
      </c>
      <c r="G13" s="22" t="inlineStr">
        <is>
          <t>US Origin</t>
        </is>
      </c>
      <c r="H13" s="22" t="inlineStr">
        <is>
          <t>Ballistic Cert Done</t>
        </is>
      </c>
    </row>
    <row r="14">
      <c r="A14" s="20">
        <f>COUNTA(tbl_FirearmSeizures[SeizureID])-COUNTBLANK(tbl_FirearmSeizures[SeizureID])</f>
        <v/>
      </c>
      <c r="B14" s="20">
        <f>COUNTIF(tbl_FirearmSeizures[FirearmType],"Pistol*")</f>
        <v/>
      </c>
      <c r="C14" s="20">
        <f>COUNTIF(tbl_FirearmSeizures[FirearmType],"Rifle*")</f>
        <v/>
      </c>
      <c r="D14" s="20">
        <f>COUNTIF(tbl_FirearmSeizures[FirearmType],"Shotgun")</f>
        <v/>
      </c>
      <c r="E14" s="20">
        <f>COUNTIF(tbl_FirearmSeizures[IBIS_Status],"Hit*")</f>
        <v/>
      </c>
      <c r="F14" s="20">
        <f>COUNTIF(tbl_FirearmSeizures[eTrace_Status],"Trace*")</f>
        <v/>
      </c>
      <c r="G14" s="20">
        <f>COUNTIF(tbl_FirearmSeizures[eTrace_Status],"Traced*US*")</f>
        <v/>
      </c>
      <c r="H14" s="20">
        <f>COUNTIF(tbl_FirearmSeizures[BallisticCertStatus],"Certificate Issued")</f>
        <v/>
      </c>
    </row>
    <row r="16">
      <c r="A16" s="23" t="inlineStr">
        <is>
          <t>NARCOTICS SEIZURES</t>
        </is>
      </c>
    </row>
    <row r="17">
      <c r="A17" s="24" t="inlineStr">
        <is>
          <t>Drug Seizures</t>
        </is>
      </c>
      <c r="B17" s="24" t="inlineStr">
        <is>
          <t>Cannabis Items</t>
        </is>
      </c>
      <c r="C17" s="24" t="inlineStr">
        <is>
          <t>Cocaine Items</t>
        </is>
      </c>
      <c r="D17" s="24" t="inlineStr">
        <is>
          <t>Est Value (JMD)</t>
        </is>
      </c>
      <c r="E17" s="24" t="inlineStr">
        <is>
          <t>Linked to Gun Trade</t>
        </is>
      </c>
      <c r="F17" s="24" t="inlineStr">
        <is>
          <t>Est Equiv Firearms</t>
        </is>
      </c>
      <c r="G17" s="24" t="inlineStr">
        <is>
          <t>Forensic Cert Done</t>
        </is>
      </c>
      <c r="H17" s="24" t="inlineStr">
        <is>
          <t>Cert Overdue</t>
        </is>
      </c>
    </row>
    <row r="18">
      <c r="A18" s="20">
        <f>COUNTA(tbl_NarcoticSeizures[SeizureID])-COUNTBLANK(tbl_NarcoticSeizures[SeizureID])</f>
        <v/>
      </c>
      <c r="B18" s="20">
        <f>COUNTIF(tbl_NarcoticSeizures[DrugType],"Cannabis*")</f>
        <v/>
      </c>
      <c r="C18" s="20">
        <f>COUNTIF(tbl_NarcoticSeizures[DrugType],"Cocaine*")</f>
        <v/>
      </c>
      <c r="D18" s="20">
        <f>SUM(tbl_NarcoticSeizures[EstStreetValue_JMD])</f>
        <v/>
      </c>
      <c r="E18" s="20">
        <f>COUNTIF(tbl_NarcoticSeizures[LinkedToGunTrade],"Yes")</f>
        <v/>
      </c>
      <c r="F18" s="20">
        <f>SUM(tbl_NarcoticSeizures[EstEquivFirearms])</f>
        <v/>
      </c>
      <c r="G18" s="20">
        <f>COUNTIF(tbl_NarcoticSeizures[ForensicCertStatus],"Certificate Issued")</f>
        <v/>
      </c>
      <c r="H18" s="20">
        <f>COUNTIF(tbl_NarcoticSeizures[ForensicCertStatus],"Certificate Overdue")</f>
        <v/>
      </c>
    </row>
    <row r="20">
      <c r="A20" s="21" t="inlineStr">
        <is>
          <t>ARRESTS &amp; 48-HOUR COMPLIANCE</t>
        </is>
      </c>
    </row>
    <row r="21">
      <c r="A21" s="22" t="inlineStr">
        <is>
          <t>Total Arrests</t>
        </is>
      </c>
      <c r="B21" s="22" t="inlineStr">
        <is>
          <t>Firearms Charges</t>
        </is>
      </c>
      <c r="C21" s="22" t="inlineStr">
        <is>
          <t>Drug Charges</t>
        </is>
      </c>
      <c r="D21" s="22" t="inlineStr">
        <is>
          <t>48hr Met</t>
        </is>
      </c>
      <c r="E21" s="22" t="inlineStr">
        <is>
          <t>48hr BREACH</t>
        </is>
      </c>
      <c r="F21" s="22" t="inlineStr">
        <is>
          <t>48hr Rate</t>
        </is>
      </c>
      <c r="G21" s="22" t="inlineStr">
        <is>
          <t>Bail Granted</t>
        </is>
      </c>
      <c r="H21" s="22" t="inlineStr">
        <is>
          <t>Remanded</t>
        </is>
      </c>
    </row>
    <row r="22">
      <c r="A22" s="20">
        <f>COUNTA(tbl_Arrests[ArrestID])-COUNTBLANK(tbl_Arrests[ArrestID])</f>
        <v/>
      </c>
      <c r="B22" s="20">
        <f>COUNTIF(tbl_Arrests[ActSection],"*Firearms*")</f>
        <v/>
      </c>
      <c r="C22" s="20">
        <f>COUNTIF(tbl_Arrests[ActSection],"*DDA*")+COUNTIF(tbl_Arrests[ActSection],"*Dangerous*")</f>
        <v/>
      </c>
      <c r="D22" s="20">
        <f>COUNTIF(tbl_Arrests[48hr_Met],"Yes")</f>
        <v/>
      </c>
      <c r="E22" s="20">
        <f>COUNTIF(tbl_Arrests[48hr_Met],"BREACH")</f>
        <v/>
      </c>
      <c r="F22" s="20">
        <f>IFERROR(COUNTIF(tbl_Arrests[48hr_Met],"Yes")/COUNTA(tbl_Arrests[48hr_Met]),"-")</f>
        <v/>
      </c>
      <c r="G22" s="20">
        <f>COUNTIF(tbl_Arrests[BailStatus],"Bail Granted")</f>
        <v/>
      </c>
      <c r="H22" s="20">
        <f>COUNTIF(tbl_Arrests[BailStatus],"Remanded*")</f>
        <v/>
      </c>
    </row>
    <row r="24">
      <c r="A24" s="25" t="inlineStr">
        <is>
          <t>CASE REGISTRY &amp; INVESTIGATIONS</t>
        </is>
      </c>
    </row>
    <row r="25">
      <c r="A25" s="26" t="inlineStr">
        <is>
          <t>Total Cases</t>
        </is>
      </c>
      <c r="B25" s="26" t="inlineStr">
        <is>
          <t>Open - Active</t>
        </is>
      </c>
      <c r="C25" s="26" t="inlineStr">
        <is>
          <t>Open - Pending</t>
        </is>
      </c>
      <c r="D25" s="26" t="inlineStr">
        <is>
          <t>Firearms Cases</t>
        </is>
      </c>
      <c r="E25" s="26" t="inlineStr">
        <is>
          <t>Narcotics Cases</t>
        </is>
      </c>
      <c r="F25" s="26" t="inlineStr">
        <is>
          <t>Escalated</t>
        </is>
      </c>
      <c r="G25" s="26" t="inlineStr">
        <is>
          <t>Cold Cases</t>
        </is>
      </c>
      <c r="H25" s="26" t="inlineStr">
        <is>
          <t>Avg Progress</t>
        </is>
      </c>
    </row>
    <row r="26">
      <c r="A26" s="20">
        <f>COUNTA(tbl_CaseRegistry[CaseRegID])-COUNTBLANK(tbl_CaseRegistry[CaseRegID])</f>
        <v/>
      </c>
      <c r="B26" s="20">
        <f>COUNTIF(tbl_CaseRegistry[CaseStatus],"Open - Active*")</f>
        <v/>
      </c>
      <c r="C26" s="20">
        <f>COUNTIF(tbl_CaseRegistry[CaseStatus],"Open - Pending*")</f>
        <v/>
      </c>
      <c r="D26" s="20">
        <f>COUNTIF(tbl_CaseRegistry[CaseClassification],"Firearms")+COUNTIF(tbl_CaseRegistry[CaseClassification],"Firearms*Narcotics")</f>
        <v/>
      </c>
      <c r="E26" s="20">
        <f>COUNTIF(tbl_CaseRegistry[CaseClassification],"Narcotics")+COUNTIF(tbl_CaseRegistry[CaseClassification],"Firearms*Narcotics")</f>
        <v/>
      </c>
      <c r="F26" s="20">
        <f>COUNTIF(tbl_CaseRegistry[Escalated],"Yes")</f>
        <v/>
      </c>
      <c r="G26" s="20">
        <f>COUNTIF(tbl_CaseRegistry[CaseStatus],"Cold Case*")</f>
        <v/>
      </c>
      <c r="H26" s="20">
        <f>IFERROR(AVERAGE(tbl_CaseRegistry[InvestigationProgress]),"-")</f>
        <v/>
      </c>
    </row>
    <row r="28">
      <c r="A28" s="27" t="inlineStr">
        <is>
          <t>DPP CASE PIPELINE</t>
        </is>
      </c>
    </row>
    <row r="29">
      <c r="A29" s="28" t="inlineStr">
        <is>
          <t>Total Case Files</t>
        </is>
      </c>
      <c r="B29" s="28" t="inlineStr">
        <is>
          <t>Being Prepared</t>
        </is>
      </c>
      <c r="C29" s="28" t="inlineStr">
        <is>
          <t>Submitted to DPP</t>
        </is>
      </c>
      <c r="D29" s="28" t="inlineStr">
        <is>
          <t>Awaiting Forensic</t>
        </is>
      </c>
      <c r="E29" s="28" t="inlineStr">
        <is>
          <t>Awaiting Ballistic</t>
        </is>
      </c>
      <c r="F29" s="28" t="inlineStr">
        <is>
          <t>Charge Approved</t>
        </is>
      </c>
      <c r="G29" s="28" t="inlineStr">
        <is>
          <t>Avg File Score</t>
        </is>
      </c>
      <c r="H29" s="28" t="inlineStr">
        <is>
          <t>Avg Days Pipeline</t>
        </is>
      </c>
    </row>
    <row r="30">
      <c r="A30" s="20">
        <f>COUNTA(tbl_CaseFiles[CaseFileID])-COUNTBLANK(tbl_CaseFiles[CaseFileID])</f>
        <v/>
      </c>
      <c r="B30" s="20">
        <f>COUNTIF(tbl_CaseFiles[DPPStatus],"File Being*")</f>
        <v/>
      </c>
      <c r="C30" s="20">
        <f>COUNTIF(tbl_CaseFiles[DPPStatus],"File Submitted*")</f>
        <v/>
      </c>
      <c r="D30" s="20">
        <f>COUNTIF(tbl_CaseFiles[DPPStatus],"Awaiting Forensic*")</f>
        <v/>
      </c>
      <c r="E30" s="20">
        <f>COUNTIF(tbl_CaseFiles[DPPStatus],"Awaiting Ballistic*")</f>
        <v/>
      </c>
      <c r="F30" s="20">
        <f>COUNTIF(tbl_CaseFiles[DPPStatus],"Ruling*Charge*")</f>
        <v/>
      </c>
      <c r="G30" s="20">
        <f>IFERROR(AVERAGE(tbl_CaseFiles[FileCompletenessScore]),"-")</f>
        <v/>
      </c>
      <c r="H30" s="20">
        <f>IFERROR(AVERAGE(tbl_CaseFiles[DaysInPipeline]),"-")</f>
        <v/>
      </c>
    </row>
    <row r="32">
      <c r="A32" s="29" t="inlineStr">
        <is>
          <t>FORENSIC BOTTLENECK (IFSLM)</t>
        </is>
      </c>
    </row>
    <row r="33">
      <c r="A33" s="30" t="inlineStr">
        <is>
          <t>Ballistic Pending</t>
        </is>
      </c>
      <c r="B33" s="30" t="inlineStr">
        <is>
          <t>Ballistic Overdue</t>
        </is>
      </c>
      <c r="C33" s="30" t="inlineStr">
        <is>
          <t>Ballistic Complete</t>
        </is>
      </c>
      <c r="D33" s="30" t="inlineStr">
        <is>
          <t>Drug Cert Pending</t>
        </is>
      </c>
      <c r="E33" s="30" t="inlineStr">
        <is>
          <t>Drug Cert Overdue</t>
        </is>
      </c>
      <c r="F33" s="30" t="inlineStr">
        <is>
          <t>Drug Cert Complete</t>
        </is>
      </c>
      <c r="G33" s="30" t="inlineStr">
        <is>
          <t>POCA Referrals</t>
        </is>
      </c>
      <c r="H33" s="30" t="inlineStr">
        <is>
          <t>POCA Forfeited</t>
        </is>
      </c>
    </row>
    <row r="34">
      <c r="A34" s="20">
        <f>COUNTIF(tbl_FirearmSeizures[BallisticCertStatus],"Submitted*")+COUNTIF(tbl_FirearmSeizures[BallisticCertStatus],"Analysis*")</f>
        <v/>
      </c>
      <c r="B34" s="20">
        <f>COUNTIF(tbl_FirearmSeizures[BallisticCertStatus],"Certificate Overdue")</f>
        <v/>
      </c>
      <c r="C34" s="20">
        <f>COUNTIF(tbl_FirearmSeizures[BallisticCertStatus],"Certificate Issued")</f>
        <v/>
      </c>
      <c r="D34" s="20">
        <f>COUNTIF(tbl_NarcoticSeizures[ForensicCertStatus],"Submitted*")+COUNTIF(tbl_NarcoticSeizures[ForensicCertStatus],"Analysis*")</f>
        <v/>
      </c>
      <c r="E34" s="20">
        <f>COUNTIF(tbl_NarcoticSeizures[ForensicCertStatus],"Certificate Overdue")</f>
        <v/>
      </c>
      <c r="F34" s="20">
        <f>COUNTIF(tbl_NarcoticSeizures[ForensicCertStatus],"Certificate Issued")</f>
        <v/>
      </c>
      <c r="G34" s="20">
        <f>COUNTIF(tbl_Arrests[POCAStatus],"Referred*")</f>
        <v/>
      </c>
      <c r="H34" s="20">
        <f>COUNTIF(tbl_Arrests[POCAStatus],"Forfeiture*")</f>
        <v/>
      </c>
    </row>
  </sheetData>
  <mergeCells count="10">
    <mergeCell ref="A20:L20"/>
    <mergeCell ref="A24:L24"/>
    <mergeCell ref="A2:L2"/>
    <mergeCell ref="A16:L16"/>
    <mergeCell ref="A1:L1"/>
    <mergeCell ref="A28:L28"/>
    <mergeCell ref="A32:L32"/>
    <mergeCell ref="A8:L8"/>
    <mergeCell ref="A12:L12"/>
    <mergeCell ref="A4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08080"/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2" customWidth="1" min="24" max="24"/>
    <col width="20" customWidth="1" min="25" max="25"/>
    <col width="21" customWidth="1" min="26" max="26"/>
  </cols>
  <sheetData>
    <row r="1">
      <c r="A1" s="31" t="inlineStr">
        <is>
          <t>IntelSource</t>
        </is>
      </c>
      <c r="B1" s="31" t="inlineStr">
        <is>
          <t>IntelPriority</t>
        </is>
      </c>
      <c r="C1" s="31" t="inlineStr">
        <is>
          <t>TriageDecision</t>
        </is>
      </c>
      <c r="D1" s="31" t="inlineStr">
        <is>
          <t>OperationType</t>
        </is>
      </c>
      <c r="E1" s="31" t="inlineStr">
        <is>
          <t>WarrantBasis</t>
        </is>
      </c>
      <c r="F1" s="31" t="inlineStr">
        <is>
          <t>FirearmType</t>
        </is>
      </c>
      <c r="G1" s="31" t="inlineStr">
        <is>
          <t>FirearmCalibre</t>
        </is>
      </c>
      <c r="H1" s="31" t="inlineStr">
        <is>
          <t>DrugType</t>
        </is>
      </c>
      <c r="I1" s="31" t="inlineStr">
        <is>
          <t>DrugUnit</t>
        </is>
      </c>
      <c r="J1" s="31" t="inlineStr">
        <is>
          <t>FirearmsActOffence</t>
        </is>
      </c>
      <c r="K1" s="31" t="inlineStr">
        <is>
          <t>DDAOffence</t>
        </is>
      </c>
      <c r="L1" s="31" t="inlineStr">
        <is>
          <t>CourtType</t>
        </is>
      </c>
      <c r="M1" s="31" t="inlineStr">
        <is>
          <t>BailStatus</t>
        </is>
      </c>
      <c r="N1" s="31" t="inlineStr">
        <is>
          <t>DPPStatus</t>
        </is>
      </c>
      <c r="O1" s="31" t="inlineStr">
        <is>
          <t>ForensicStatus</t>
        </is>
      </c>
      <c r="P1" s="31" t="inlineStr">
        <is>
          <t>Parish</t>
        </is>
      </c>
      <c r="Q1" s="31" t="inlineStr">
        <is>
          <t>YesNo</t>
        </is>
      </c>
      <c r="R1" s="31" t="inlineStr">
        <is>
          <t>OpOutcome</t>
        </is>
      </c>
      <c r="S1" s="31" t="inlineStr">
        <is>
          <t>SeizureLocation</t>
        </is>
      </c>
      <c r="T1" s="31" t="inlineStr">
        <is>
          <t>IBIS_Status</t>
        </is>
      </c>
      <c r="U1" s="31" t="inlineStr">
        <is>
          <t>eTrace_Status</t>
        </is>
      </c>
      <c r="V1" s="31" t="inlineStr">
        <is>
          <t>ExhibitDisposal</t>
        </is>
      </c>
      <c r="W1" s="31" t="inlineStr">
        <is>
          <t>POCAStatus</t>
        </is>
      </c>
      <c r="X1" s="31" t="inlineStr">
        <is>
          <t>CaseClassification</t>
        </is>
      </c>
      <c r="Y1" s="31" t="inlineStr">
        <is>
          <t>CaseStatus</t>
        </is>
      </c>
      <c r="Z1" s="31" t="inlineStr">
        <is>
          <t>InvestigationType</t>
        </is>
      </c>
    </row>
    <row r="2">
      <c r="A2" t="inlineStr">
        <is>
          <t>Crime Stop (311)</t>
        </is>
      </c>
      <c r="B2" t="inlineStr">
        <is>
          <t>Critical</t>
        </is>
      </c>
      <c r="C2" t="inlineStr">
        <is>
          <t>Action - Mount Operation</t>
        </is>
      </c>
      <c r="D2" t="inlineStr">
        <is>
          <t>Search Warrant Execution</t>
        </is>
      </c>
      <c r="E2" t="inlineStr">
        <is>
          <t>Section 91 - Firearms Act 2022</t>
        </is>
      </c>
      <c r="F2" t="inlineStr">
        <is>
          <t>Pistol - Semi-Auto</t>
        </is>
      </c>
      <c r="G2" t="inlineStr">
        <is>
          <t>9mm</t>
        </is>
      </c>
      <c r="H2" t="inlineStr">
        <is>
          <t>Cannabis/Ganja - Compressed</t>
        </is>
      </c>
      <c r="I2" t="inlineStr">
        <is>
          <t>kg</t>
        </is>
      </c>
      <c r="J2" t="inlineStr">
        <is>
          <t>s.5 - Possession of Prohibited Weapon (15-25yr)</t>
        </is>
      </c>
      <c r="K2" t="inlineStr">
        <is>
          <t>Import/Export - Cannabis (DDA Part IIIA)</t>
        </is>
      </c>
      <c r="L2" t="inlineStr">
        <is>
          <t>Gun Court - High Court Division (judge alone, in camera)</t>
        </is>
      </c>
      <c r="M2" t="inlineStr">
        <is>
          <t>Bail Granted</t>
        </is>
      </c>
      <c r="N2" t="inlineStr">
        <is>
          <t>File Being Prepared</t>
        </is>
      </c>
      <c r="O2" t="inlineStr">
        <is>
          <t>Not Yet Submitted</t>
        </is>
      </c>
      <c r="P2" t="inlineStr">
        <is>
          <t>Kingston</t>
        </is>
      </c>
      <c r="Q2" t="inlineStr">
        <is>
          <t>Yes</t>
        </is>
      </c>
      <c r="R2" t="inlineStr">
        <is>
          <t>Successful - Seizure + Arrest</t>
        </is>
      </c>
      <c r="S2" t="inlineStr">
        <is>
          <t>Port Bustamante</t>
        </is>
      </c>
      <c r="T2" t="inlineStr">
        <is>
          <t>Not Submitted</t>
        </is>
      </c>
      <c r="U2" t="inlineStr">
        <is>
          <t>Not Submitted</t>
        </is>
      </c>
      <c r="V2" t="inlineStr">
        <is>
          <t>Held - Active Case</t>
        </is>
      </c>
      <c r="W2" t="inlineStr">
        <is>
          <t>Not Applicable</t>
        </is>
      </c>
      <c r="X2" t="inlineStr">
        <is>
          <t>Firearms</t>
        </is>
      </c>
      <c r="Y2" t="inlineStr">
        <is>
          <t>Open - Active Investigation</t>
        </is>
      </c>
      <c r="Z2" t="inlineStr">
        <is>
          <t>Murder Investigation (Firearm)</t>
        </is>
      </c>
    </row>
    <row r="3">
      <c r="A3" t="inlineStr">
        <is>
          <t>NIB (811)</t>
        </is>
      </c>
      <c r="B3" t="inlineStr">
        <is>
          <t>High</t>
        </is>
      </c>
      <c r="C3" t="inlineStr">
        <is>
          <t>Action - Surveillance</t>
        </is>
      </c>
      <c r="D3" t="inlineStr">
        <is>
          <t>Snap Raid</t>
        </is>
      </c>
      <c r="E3" t="inlineStr">
        <is>
          <t>Section 21 - Dangerous Drugs Act</t>
        </is>
      </c>
      <c r="F3" t="inlineStr">
        <is>
          <t>Pistol - Revolver</t>
        </is>
      </c>
      <c r="G3" t="inlineStr">
        <is>
          <t>.40 S&amp;W</t>
        </is>
      </c>
      <c r="H3" t="inlineStr">
        <is>
          <t>Cannabis/Ganja - Loose</t>
        </is>
      </c>
      <c r="I3" t="inlineStr">
        <is>
          <t>g</t>
        </is>
      </c>
      <c r="J3" t="inlineStr">
        <is>
          <t>s.6 - Stockpiling (3+ weapons / 50+ rounds)</t>
        </is>
      </c>
      <c r="K3" t="inlineStr">
        <is>
          <t>Import/Export - Cocaine (DDA Part IV)</t>
        </is>
      </c>
      <c r="L3" t="inlineStr">
        <is>
          <t>Gun Court - Circuit Court Division (jury, murder/treason)</t>
        </is>
      </c>
      <c r="M3" t="inlineStr">
        <is>
          <t>Bail Denied</t>
        </is>
      </c>
      <c r="N3" t="inlineStr">
        <is>
          <t>File Submitted to DPP</t>
        </is>
      </c>
      <c r="O3" t="inlineStr">
        <is>
          <t>Submitted to IFSLM</t>
        </is>
      </c>
      <c r="P3" t="inlineStr">
        <is>
          <t>St. Andrew</t>
        </is>
      </c>
      <c r="Q3" t="inlineStr">
        <is>
          <t>No</t>
        </is>
      </c>
      <c r="R3" t="inlineStr">
        <is>
          <t>Successful - Seizure Only</t>
        </is>
      </c>
      <c r="S3" t="inlineStr">
        <is>
          <t>Kingston Logistics Centre</t>
        </is>
      </c>
      <c r="T3" t="inlineStr">
        <is>
          <t>Submitted - Pending</t>
        </is>
      </c>
      <c r="U3" t="inlineStr">
        <is>
          <t>Submitted - Pending</t>
        </is>
      </c>
      <c r="V3" t="inlineStr">
        <is>
          <t>Held - Court Order</t>
        </is>
      </c>
      <c r="W3" t="inlineStr">
        <is>
          <t>Referred to FID</t>
        </is>
      </c>
      <c r="X3" t="inlineStr">
        <is>
          <t>Narcotics</t>
        </is>
      </c>
      <c r="Y3" t="inlineStr">
        <is>
          <t>Open - Pending Forensics</t>
        </is>
      </c>
      <c r="Z3" t="inlineStr">
        <is>
          <t>Illegal Possession of Firearm</t>
        </is>
      </c>
    </row>
    <row r="4">
      <c r="A4" t="inlineStr">
        <is>
          <t>Informant</t>
        </is>
      </c>
      <c r="B4" t="inlineStr">
        <is>
          <t>Medium</t>
        </is>
      </c>
      <c r="C4" t="inlineStr">
        <is>
          <t>Action - Port Alert</t>
        </is>
      </c>
      <c r="D4" t="inlineStr">
        <is>
          <t>Port/Cargo Interdiction</t>
        </is>
      </c>
      <c r="E4" t="inlineStr">
        <is>
          <t>Section 14 - POCA 2007</t>
        </is>
      </c>
      <c r="F4" t="inlineStr">
        <is>
          <t>Rifle - Semi-Auto</t>
        </is>
      </c>
      <c r="G4" t="inlineStr">
        <is>
          <t>.45 ACP</t>
        </is>
      </c>
      <c r="H4" t="inlineStr">
        <is>
          <t>Cannabis/Ganja - Oil/Edibles</t>
        </is>
      </c>
      <c r="I4" t="inlineStr">
        <is>
          <t>lbs</t>
        </is>
      </c>
      <c r="J4" t="inlineStr">
        <is>
          <t>s.7 - Trafficking in Prohibited Weapon (20yr min)</t>
        </is>
      </c>
      <c r="K4" t="inlineStr">
        <is>
          <t>Import/Export - Heroin (DDA Part IV)</t>
        </is>
      </c>
      <c r="L4" t="inlineStr">
        <is>
          <t>Gun Court - RM Division (preliminary exam)</t>
        </is>
      </c>
      <c r="M4" t="inlineStr">
        <is>
          <t>Remanded in Custody</t>
        </is>
      </c>
      <c r="N4" t="inlineStr">
        <is>
          <t>Awaiting Forensic Certificate</t>
        </is>
      </c>
      <c r="O4" t="inlineStr">
        <is>
          <t>Analysis In Progress</t>
        </is>
      </c>
      <c r="P4" t="inlineStr">
        <is>
          <t>St. Thomas</t>
        </is>
      </c>
      <c r="R4" t="inlineStr">
        <is>
          <t>Successful - Arrest Only</t>
        </is>
      </c>
      <c r="S4" t="inlineStr">
        <is>
          <t>Newport West</t>
        </is>
      </c>
      <c r="T4" t="inlineStr">
        <is>
          <t>No Match</t>
        </is>
      </c>
      <c r="U4" t="inlineStr">
        <is>
          <t>Traced - US Origin</t>
        </is>
      </c>
      <c r="V4" t="inlineStr">
        <is>
          <t>Destroyed - Authorized</t>
        </is>
      </c>
      <c r="W4" t="inlineStr">
        <is>
          <t>Restraint Order Applied</t>
        </is>
      </c>
      <c r="X4" t="inlineStr">
        <is>
          <t>Firearms + Narcotics</t>
        </is>
      </c>
      <c r="Y4" t="inlineStr">
        <is>
          <t>Open - Pending Witness Statements</t>
        </is>
      </c>
      <c r="Z4" t="inlineStr">
        <is>
          <t>Trafficking - Firearms</t>
        </is>
      </c>
    </row>
    <row r="5">
      <c r="A5" t="inlineStr">
        <is>
          <t>DEA</t>
        </is>
      </c>
      <c r="B5" t="inlineStr">
        <is>
          <t>Low</t>
        </is>
      </c>
      <c r="C5" t="inlineStr">
        <is>
          <t>Refer to Divisional CIB</t>
        </is>
      </c>
      <c r="D5" t="inlineStr">
        <is>
          <t>Airport Interdiction</t>
        </is>
      </c>
      <c r="E5" t="inlineStr">
        <is>
          <t>ZOSO - Warrantless (s.5 ZOSO Act)</t>
        </is>
      </c>
      <c r="F5" t="inlineStr">
        <is>
          <t>Rifle - Bolt Action</t>
        </is>
      </c>
      <c r="G5" t="inlineStr">
        <is>
          <t>.380 ACP</t>
        </is>
      </c>
      <c r="H5" t="inlineStr">
        <is>
          <t>Cocaine - Powder</t>
        </is>
      </c>
      <c r="I5" t="inlineStr">
        <is>
          <t>oz</t>
        </is>
      </c>
      <c r="J5" t="inlineStr">
        <is>
          <t>s.8 - Possession with Intent to Traffic</t>
        </is>
      </c>
      <c r="K5" t="inlineStr">
        <is>
          <t>Dealing/Trafficking - Cannabis</t>
        </is>
      </c>
      <c r="L5" t="inlineStr">
        <is>
          <t>Parish Court (summary drug offence)</t>
        </is>
      </c>
      <c r="M5" t="inlineStr">
        <is>
          <t>Released - No Charge</t>
        </is>
      </c>
      <c r="N5" t="inlineStr">
        <is>
          <t>Awaiting Ballistic Certificate</t>
        </is>
      </c>
      <c r="O5" t="inlineStr">
        <is>
          <t>Certificate Issued</t>
        </is>
      </c>
      <c r="P5" t="inlineStr">
        <is>
          <t>Portland</t>
        </is>
      </c>
      <c r="R5" t="inlineStr">
        <is>
          <t>Partial - Intel Developed</t>
        </is>
      </c>
      <c r="S5" t="inlineStr">
        <is>
          <t>Norman Manley Airport</t>
        </is>
      </c>
      <c r="T5" t="inlineStr">
        <is>
          <t>Hit - Confirmed Match</t>
        </is>
      </c>
      <c r="U5" t="inlineStr">
        <is>
          <t>Traced - Non-US Origin</t>
        </is>
      </c>
      <c r="V5" t="inlineStr">
        <is>
          <t>Returned to Owner</t>
        </is>
      </c>
      <c r="W5" t="inlineStr">
        <is>
          <t>Restraint Order Granted</t>
        </is>
      </c>
      <c r="X5" t="inlineStr">
        <is>
          <t>Trafficking - Firearms</t>
        </is>
      </c>
      <c r="Y5" t="inlineStr">
        <is>
          <t>Open - Surveillance</t>
        </is>
      </c>
      <c r="Z5" t="inlineStr">
        <is>
          <t>Trafficking - Narcotics</t>
        </is>
      </c>
    </row>
    <row r="6">
      <c r="A6" t="inlineStr">
        <is>
          <t>ATF</t>
        </is>
      </c>
      <c r="C6" t="inlineStr">
        <is>
          <t>Refer to MOCA</t>
        </is>
      </c>
      <c r="D6" t="inlineStr">
        <is>
          <t>Vehicle Interception</t>
        </is>
      </c>
      <c r="E6" t="inlineStr">
        <is>
          <t>SOE - Warrantless</t>
        </is>
      </c>
      <c r="F6" t="inlineStr">
        <is>
          <t>Rifle - Assault</t>
        </is>
      </c>
      <c r="G6" t="inlineStr">
        <is>
          <t>.22 LR</t>
        </is>
      </c>
      <c r="H6" t="inlineStr">
        <is>
          <t>Cocaine - Crack</t>
        </is>
      </c>
      <c r="I6" t="inlineStr">
        <is>
          <t>plants</t>
        </is>
      </c>
      <c r="J6" t="inlineStr">
        <is>
          <t>s.9 - Manufacture of Prohibited Weapon</t>
        </is>
      </c>
      <c r="K6" t="inlineStr">
        <is>
          <t>Dealing/Trafficking - Cocaine</t>
        </is>
      </c>
      <c r="L6" t="inlineStr">
        <is>
          <t>Circuit Court (indictable drug offence)</t>
        </is>
      </c>
      <c r="M6" t="inlineStr">
        <is>
          <t>Released - Insufficient Evidence</t>
        </is>
      </c>
      <c r="N6" t="inlineStr">
        <is>
          <t>Crown Counsel Reviewing</t>
        </is>
      </c>
      <c r="O6" t="inlineStr">
        <is>
          <t>Certificate Overdue</t>
        </is>
      </c>
      <c r="P6" t="inlineStr">
        <is>
          <t>St. Mary</t>
        </is>
      </c>
      <c r="R6" t="inlineStr">
        <is>
          <t>Negative - No Finds</t>
        </is>
      </c>
      <c r="S6" t="inlineStr">
        <is>
          <t>Sangster International Airport</t>
        </is>
      </c>
      <c r="T6" t="inlineStr">
        <is>
          <t>Hit - Unconfirmed</t>
        </is>
      </c>
      <c r="U6" t="inlineStr">
        <is>
          <t>Untraceable - No Serial</t>
        </is>
      </c>
      <c r="V6" t="inlineStr">
        <is>
          <t>Forfeited - POCA</t>
        </is>
      </c>
      <c r="W6" t="inlineStr">
        <is>
          <t>Civil Recovery Filed</t>
        </is>
      </c>
      <c r="X6" t="inlineStr">
        <is>
          <t>Trafficking - Narcotics</t>
        </is>
      </c>
      <c r="Y6" t="inlineStr">
        <is>
          <t>Open - Pending DPP Submission</t>
        </is>
      </c>
      <c r="Z6" t="inlineStr">
        <is>
          <t>Shooting with Intent</t>
        </is>
      </c>
    </row>
    <row r="7">
      <c r="A7" t="inlineStr">
        <is>
          <t>HSI</t>
        </is>
      </c>
      <c r="C7" t="inlineStr">
        <is>
          <t>Refer to SIB</t>
        </is>
      </c>
      <c r="D7" t="inlineStr">
        <is>
          <t>Coastal/Beach Operation</t>
        </is>
      </c>
      <c r="E7" t="inlineStr">
        <is>
          <t>Sergeant Written Directive (DDA s.21)</t>
        </is>
      </c>
      <c r="F7" t="inlineStr">
        <is>
          <t>Shotgun</t>
        </is>
      </c>
      <c r="G7" t="inlineStr">
        <is>
          <t>.25 ACP</t>
        </is>
      </c>
      <c r="H7" t="inlineStr">
        <is>
          <t>Heroin</t>
        </is>
      </c>
      <c r="I7" t="inlineStr">
        <is>
          <t>tablets</t>
        </is>
      </c>
      <c r="J7" t="inlineStr">
        <is>
          <t>s.10 - Dealing in Prohibited Weapon</t>
        </is>
      </c>
      <c r="K7" t="inlineStr">
        <is>
          <t>Dealing/Trafficking - Heroin</t>
        </is>
      </c>
      <c r="L7" t="inlineStr">
        <is>
          <t>Supreme Court</t>
        </is>
      </c>
      <c r="M7" t="inlineStr">
        <is>
          <t>Stop Order Issued</t>
        </is>
      </c>
      <c r="N7" t="inlineStr">
        <is>
          <t>Ruling - Charge Approved</t>
        </is>
      </c>
      <c r="O7" t="inlineStr">
        <is>
          <t>Inconclusive</t>
        </is>
      </c>
      <c r="P7" t="inlineStr">
        <is>
          <t>St. Ann</t>
        </is>
      </c>
      <c r="R7" t="inlineStr">
        <is>
          <t>Aborted - Compromised</t>
        </is>
      </c>
      <c r="S7" t="inlineStr">
        <is>
          <t>Ian Fleming Airport</t>
        </is>
      </c>
      <c r="T7" t="inlineStr">
        <is>
          <t>Serial Obliterated</t>
        </is>
      </c>
      <c r="U7" t="inlineStr">
        <is>
          <t>Untraceable - Obliterated</t>
        </is>
      </c>
      <c r="V7" t="inlineStr">
        <is>
          <t>Pending Disposal Authorization</t>
        </is>
      </c>
      <c r="W7" t="inlineStr">
        <is>
          <t>Forfeiture Order - Post Conviction</t>
        </is>
      </c>
      <c r="X7" t="inlineStr">
        <is>
          <t>Trafficking - Multi-Commodity</t>
        </is>
      </c>
      <c r="Y7" t="inlineStr">
        <is>
          <t>Referred to DPP</t>
        </is>
      </c>
      <c r="Z7" t="inlineStr">
        <is>
          <t>Drug Dealing / Distribution</t>
        </is>
      </c>
    </row>
    <row r="8">
      <c r="A8" t="inlineStr">
        <is>
          <t>MOCA</t>
        </is>
      </c>
      <c r="C8" t="inlineStr">
        <is>
          <t>Intel Filed - Monitor</t>
        </is>
      </c>
      <c r="D8" t="inlineStr">
        <is>
          <t>Checkpoint</t>
        </is>
      </c>
      <c r="F8" t="inlineStr">
        <is>
          <t>Submachine Gun</t>
        </is>
      </c>
      <c r="G8" t="inlineStr">
        <is>
          <t>.38 Special</t>
        </is>
      </c>
      <c r="H8" t="inlineStr">
        <is>
          <t>MDMA/Ecstasy</t>
        </is>
      </c>
      <c r="I8" t="inlineStr">
        <is>
          <t>ml</t>
        </is>
      </c>
      <c r="J8" t="inlineStr">
        <is>
          <t>s.12 - Diversion of Lawful Firearms</t>
        </is>
      </c>
      <c r="K8" t="inlineStr">
        <is>
          <t>Possession - Cannabis (&gt;2oz)</t>
        </is>
      </c>
      <c r="M8" t="inlineStr">
        <is>
          <t>Electronic Monitoring</t>
        </is>
      </c>
      <c r="N8" t="inlineStr">
        <is>
          <t>Ruling - No Charge (Insufficient Evidence)</t>
        </is>
      </c>
      <c r="O8" t="inlineStr">
        <is>
          <t>Returned to FNID</t>
        </is>
      </c>
      <c r="P8" t="inlineStr">
        <is>
          <t>Trelawny</t>
        </is>
      </c>
      <c r="R8" t="inlineStr">
        <is>
          <t>Aborted - Safety Concern</t>
        </is>
      </c>
      <c r="S8" t="inlineStr">
        <is>
          <t>Roadway/Vehicle</t>
        </is>
      </c>
      <c r="U8" t="inlineStr">
        <is>
          <t>Trace Complete</t>
        </is>
      </c>
      <c r="W8" t="inlineStr">
        <is>
          <t>Consent Order</t>
        </is>
      </c>
      <c r="X8" t="inlineStr">
        <is>
          <t>POCA / Financial</t>
        </is>
      </c>
      <c r="Y8" t="inlineStr">
        <is>
          <t>Closed - Convicted</t>
        </is>
      </c>
      <c r="Z8" t="inlineStr">
        <is>
          <t>Import/Export - Narcotics</t>
        </is>
      </c>
    </row>
    <row r="9">
      <c r="A9" t="inlineStr">
        <is>
          <t>JCA Detection</t>
        </is>
      </c>
      <c r="C9" t="inlineStr">
        <is>
          <t>Closed - Insufficient Info</t>
        </is>
      </c>
      <c r="D9" t="inlineStr">
        <is>
          <t>Surveillance</t>
        </is>
      </c>
      <c r="F9" t="inlineStr">
        <is>
          <t>Machine Pistol</t>
        </is>
      </c>
      <c r="G9" t="inlineStr">
        <is>
          <t>.357 Magnum</t>
        </is>
      </c>
      <c r="H9" t="inlineStr">
        <is>
          <t>Methamphetamine</t>
        </is>
      </c>
      <c r="I9" t="inlineStr">
        <is>
          <t>litres</t>
        </is>
      </c>
      <c r="J9" t="inlineStr">
        <is>
          <t>s.29 - Unmarked Firearm</t>
        </is>
      </c>
      <c r="K9" t="inlineStr">
        <is>
          <t>Possession - Cocaine</t>
        </is>
      </c>
      <c r="N9" t="inlineStr">
        <is>
          <t>Voluntary Bill of Indictment</t>
        </is>
      </c>
      <c r="P9" t="inlineStr">
        <is>
          <t>St. James</t>
        </is>
      </c>
      <c r="R9" t="inlineStr">
        <is>
          <t>Ongoing</t>
        </is>
      </c>
      <c r="S9" t="inlineStr">
        <is>
          <t>Residential Premises</t>
        </is>
      </c>
      <c r="W9" t="inlineStr">
        <is>
          <t>Dismissed</t>
        </is>
      </c>
      <c r="X9" t="inlineStr">
        <is>
          <t>Murder with Firearm</t>
        </is>
      </c>
      <c r="Y9" t="inlineStr">
        <is>
          <t>Closed - Acquitted</t>
        </is>
      </c>
      <c r="Z9" t="inlineStr">
        <is>
          <t>Import/Export - Firearms</t>
        </is>
      </c>
    </row>
    <row r="10">
      <c r="A10" t="inlineStr">
        <is>
          <t>Divisional CIB</t>
        </is>
      </c>
      <c r="D10" t="inlineStr">
        <is>
          <t>Joint Op - JCA</t>
        </is>
      </c>
      <c r="F10" t="inlineStr">
        <is>
          <t>Improvised/Homemade</t>
        </is>
      </c>
      <c r="G10" t="inlineStr">
        <is>
          <t>5.56mm/.223</t>
        </is>
      </c>
      <c r="H10" t="inlineStr">
        <is>
          <t>Synthetic Cannabinoids</t>
        </is>
      </c>
      <c r="J10" t="inlineStr">
        <is>
          <t>Shooting with Intent</t>
        </is>
      </c>
      <c r="K10" t="inlineStr">
        <is>
          <t>Cultivation - Cannabis (&gt;5 plants)</t>
        </is>
      </c>
      <c r="N10" t="inlineStr">
        <is>
          <t>Preliminary Exam Ordered</t>
        </is>
      </c>
      <c r="P10" t="inlineStr">
        <is>
          <t>Hanover</t>
        </is>
      </c>
      <c r="S10" t="inlineStr">
        <is>
          <t>Commercial Premises</t>
        </is>
      </c>
      <c r="X10" t="inlineStr">
        <is>
          <t>Shooting with Intent</t>
        </is>
      </c>
      <c r="Y10" t="inlineStr">
        <is>
          <t>Closed - No Charge (Insufficient Evidence)</t>
        </is>
      </c>
      <c r="Z10" t="inlineStr">
        <is>
          <t>POCA / Financial Investigation</t>
        </is>
      </c>
    </row>
    <row r="11">
      <c r="A11" t="inlineStr">
        <is>
          <t>Patrol Intercept</t>
        </is>
      </c>
      <c r="D11" t="inlineStr">
        <is>
          <t>Joint Op - JDF</t>
        </is>
      </c>
      <c r="F11" t="inlineStr">
        <is>
          <t>3D-Printed</t>
        </is>
      </c>
      <c r="G11" t="inlineStr">
        <is>
          <t>7.62x39mm</t>
        </is>
      </c>
      <c r="H11" t="inlineStr">
        <is>
          <t>Prescription Opioids</t>
        </is>
      </c>
      <c r="J11" t="inlineStr">
        <is>
          <t>Illegal Possession of Ammunition</t>
        </is>
      </c>
      <c r="K11" t="inlineStr">
        <is>
          <t>Cultivation - Coca/Opium</t>
        </is>
      </c>
      <c r="N11" t="inlineStr">
        <is>
          <t>Returned for Further Investigation</t>
        </is>
      </c>
      <c r="P11" t="inlineStr">
        <is>
          <t>Westmoreland</t>
        </is>
      </c>
      <c r="S11" t="inlineStr">
        <is>
          <t>Beach/Coastal</t>
        </is>
      </c>
      <c r="Y11" t="inlineStr">
        <is>
          <t>Closed - Withdrawn</t>
        </is>
      </c>
      <c r="Z11" t="inlineStr">
        <is>
          <t>Stockpiling (s.6)</t>
        </is>
      </c>
    </row>
    <row r="12">
      <c r="A12" t="inlineStr">
        <is>
          <t>C-TOC/SIB</t>
        </is>
      </c>
      <c r="D12" t="inlineStr">
        <is>
          <t>Joint Op - MOCA</t>
        </is>
      </c>
      <c r="F12" t="inlineStr">
        <is>
          <t>Imitation/Replica</t>
        </is>
      </c>
      <c r="G12" t="inlineStr">
        <is>
          <t>7.62x51mm/.308</t>
        </is>
      </c>
      <c r="H12" t="inlineStr">
        <is>
          <t>Other Controlled</t>
        </is>
      </c>
      <c r="J12" t="inlineStr">
        <is>
          <t>Wounding with Intent (firearm)</t>
        </is>
      </c>
      <c r="K12" t="inlineStr">
        <is>
          <t>Deemed Dealing - School Premises</t>
        </is>
      </c>
      <c r="P12" t="inlineStr">
        <is>
          <t>St. Elizabeth</t>
        </is>
      </c>
      <c r="S12" t="inlineStr">
        <is>
          <t>Open Land/Bushes</t>
        </is>
      </c>
      <c r="Y12" t="inlineStr">
        <is>
          <t>Cold Case - Under Review</t>
        </is>
      </c>
      <c r="Z12" t="inlineStr">
        <is>
          <t>Manufacture / Assembly</t>
        </is>
      </c>
    </row>
    <row r="13">
      <c r="A13" t="inlineStr">
        <is>
          <t>INTERPOL</t>
        </is>
      </c>
      <c r="D13" t="inlineStr">
        <is>
          <t>Joint Op - DEA</t>
        </is>
      </c>
      <c r="F13" t="inlineStr">
        <is>
          <t>Component - Frame/Receiver</t>
        </is>
      </c>
      <c r="G13" t="inlineStr">
        <is>
          <t>12 Gauge</t>
        </is>
      </c>
      <c r="K13" t="inlineStr">
        <is>
          <t>Deemed Dealing - Heroin &gt;1/10oz</t>
        </is>
      </c>
      <c r="P13" t="inlineStr">
        <is>
          <t>Manchester</t>
        </is>
      </c>
      <c r="S13" t="inlineStr">
        <is>
          <t>Courier/Postal Facility</t>
        </is>
      </c>
      <c r="Y13" t="inlineStr">
        <is>
          <t>Cold Case - Dormant</t>
        </is>
      </c>
      <c r="Z13" t="inlineStr">
        <is>
          <t>Courier / Parcel Intercept</t>
        </is>
      </c>
    </row>
    <row r="14">
      <c r="A14" t="inlineStr">
        <is>
          <t>Walk-In Report</t>
        </is>
      </c>
      <c r="D14" t="inlineStr">
        <is>
          <t>Fugitive Apprehension</t>
        </is>
      </c>
      <c r="F14" t="inlineStr">
        <is>
          <t>Component - Barrel</t>
        </is>
      </c>
      <c r="G14" t="inlineStr">
        <is>
          <t>20 Gauge</t>
        </is>
      </c>
      <c r="P14" t="inlineStr">
        <is>
          <t>Clarendon</t>
        </is>
      </c>
      <c r="S14" t="inlineStr">
        <is>
          <t>ZOSO Checkpoint</t>
        </is>
      </c>
      <c r="Y14" t="inlineStr">
        <is>
          <t>Merged - See Linked Case</t>
        </is>
      </c>
      <c r="Z14" t="inlineStr">
        <is>
          <t>Guns-for-Drugs Pipeline</t>
        </is>
      </c>
    </row>
    <row r="15">
      <c r="A15" t="inlineStr">
        <is>
          <t>FNID Direct (923-6184)</t>
        </is>
      </c>
      <c r="D15" t="inlineStr">
        <is>
          <t>Follow-Up Secondary Op</t>
        </is>
      </c>
      <c r="F15" t="inlineStr">
        <is>
          <t>Component - Slide</t>
        </is>
      </c>
      <c r="G15" t="inlineStr">
        <is>
          <t>.44 Magnum</t>
        </is>
      </c>
      <c r="P15" t="inlineStr">
        <is>
          <t>St. Catherine</t>
        </is>
      </c>
      <c r="S15" t="inlineStr">
        <is>
          <t>Other</t>
        </is>
      </c>
      <c r="Z15" t="inlineStr">
        <is>
          <t>Gang / Network Investigation</t>
        </is>
      </c>
    </row>
    <row r="16">
      <c r="A16" t="inlineStr">
        <is>
          <t>UK NCA</t>
        </is>
      </c>
      <c r="D16" t="inlineStr">
        <is>
          <t>ZOSO Operation</t>
        </is>
      </c>
      <c r="F16" t="inlineStr">
        <is>
          <t>Magazine</t>
        </is>
      </c>
      <c r="G16" t="inlineStr">
        <is>
          <t>Other</t>
        </is>
      </c>
    </row>
    <row r="17">
      <c r="A17" t="inlineStr">
        <is>
          <t>US Marshals</t>
        </is>
      </c>
      <c r="D17" t="inlineStr">
        <is>
          <t>SOE Operation</t>
        </is>
      </c>
      <c r="F17" t="inlineStr">
        <is>
          <t>Silencer/Suppressor</t>
        </is>
      </c>
    </row>
    <row r="18">
      <c r="A18" t="inlineStr">
        <is>
          <t>Anonymous</t>
        </is>
      </c>
      <c r="D18" t="inlineStr">
        <is>
          <t>Courier/Parcel Investigation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2" customWidth="1" min="4" max="4"/>
    <col width="14" customWidth="1" min="5" max="5"/>
    <col width="10" customWidth="1" min="6" max="6"/>
    <col width="20" customWidth="1" min="7" max="7"/>
    <col width="10" customWidth="1" min="8" max="8"/>
    <col width="10" customWidth="1" min="9" max="9"/>
    <col width="10" customWidth="1" min="10" max="10"/>
    <col width="18" customWidth="1" min="11" max="11"/>
    <col width="22" customWidth="1" min="12" max="12"/>
    <col width="14" customWidth="1" min="13" max="13"/>
    <col width="36" customWidth="1" min="14" max="14"/>
    <col width="28" customWidth="1" min="15" max="15"/>
    <col width="16" customWidth="1" min="16" max="16"/>
    <col width="12" customWidth="1" min="17" max="17"/>
    <col width="12" customWidth="1" min="18" max="18"/>
    <col width="12" customWidth="1" min="19" max="19"/>
    <col width="22" customWidth="1" min="20" max="20"/>
    <col width="30" customWidth="1" min="21" max="21"/>
    <col width="14" customWidth="1" min="22" max="22"/>
    <col width="12" customWidth="1" min="23" max="23"/>
  </cols>
  <sheetData>
    <row r="1">
      <c r="A1" s="32" t="inlineStr">
        <is>
          <t>IntelID</t>
        </is>
      </c>
      <c r="B1" s="32" t="inlineStr">
        <is>
          <t>DateReceived</t>
        </is>
      </c>
      <c r="C1" s="32" t="inlineStr">
        <is>
          <t>TimeReceived</t>
        </is>
      </c>
      <c r="D1" s="32" t="inlineStr">
        <is>
          <t>Source</t>
        </is>
      </c>
      <c r="E1" s="32" t="inlineStr">
        <is>
          <t>SourceRef</t>
        </is>
      </c>
      <c r="F1" s="32" t="inlineStr">
        <is>
          <t>Priority</t>
        </is>
      </c>
      <c r="G1" s="32" t="inlineStr">
        <is>
          <t>SubjectMatter</t>
        </is>
      </c>
      <c r="H1" s="32" t="inlineStr">
        <is>
          <t>FirearmsRelated</t>
        </is>
      </c>
      <c r="I1" s="32" t="inlineStr">
        <is>
          <t>NarcoticsRelated</t>
        </is>
      </c>
      <c r="J1" s="32" t="inlineStr">
        <is>
          <t>TraffickingRelated</t>
        </is>
      </c>
      <c r="K1" s="32" t="inlineStr">
        <is>
          <t>TargetPerson</t>
        </is>
      </c>
      <c r="L1" s="32" t="inlineStr">
        <is>
          <t>TargetLocation</t>
        </is>
      </c>
      <c r="M1" s="32" t="inlineStr">
        <is>
          <t>Parish</t>
        </is>
      </c>
      <c r="N1" s="32" t="inlineStr">
        <is>
          <t>SubstanceOfIntel</t>
        </is>
      </c>
      <c r="O1" s="32" t="inlineStr">
        <is>
          <t>TriageDecision</t>
        </is>
      </c>
      <c r="P1" s="32" t="inlineStr">
        <is>
          <t>TriageBy</t>
        </is>
      </c>
      <c r="Q1" s="32" t="inlineStr">
        <is>
          <t>TriageDate</t>
        </is>
      </c>
      <c r="R1" s="32" t="inlineStr">
        <is>
          <t>LinkedOpID</t>
        </is>
      </c>
      <c r="S1" s="32" t="inlineStr">
        <is>
          <t>LinkedCaseID</t>
        </is>
      </c>
      <c r="T1" s="32" t="inlineStr">
        <is>
          <t>Outcome</t>
        </is>
      </c>
      <c r="U1" s="32" t="inlineStr">
        <is>
          <t>OutcomeNotes</t>
        </is>
      </c>
      <c r="V1" s="32" t="inlineStr">
        <is>
          <t>CreatedBy</t>
        </is>
      </c>
      <c r="W1" s="32" t="inlineStr">
        <is>
          <t>CreatedDate</t>
        </is>
      </c>
    </row>
    <row r="2">
      <c r="A2" s="33">
        <f>IF(B2="","","INT-"&amp;TEXT(ROW()-1,"0000"))</f>
        <v/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  <c r="Q2" s="33" t="n"/>
      <c r="R2" s="33" t="n"/>
      <c r="S2" s="33" t="n"/>
      <c r="T2" s="33" t="n"/>
      <c r="U2" s="33" t="n"/>
      <c r="V2" s="33" t="n"/>
      <c r="W2" s="33" t="n"/>
    </row>
    <row r="3">
      <c r="A3" s="33">
        <f>IF(B3="","","INT-"&amp;TEXT(ROW()-1,"0000"))</f>
        <v/>
      </c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  <c r="Q3" s="33" t="n"/>
      <c r="R3" s="33" t="n"/>
      <c r="S3" s="33" t="n"/>
      <c r="T3" s="33" t="n"/>
      <c r="U3" s="33" t="n"/>
      <c r="V3" s="33" t="n"/>
      <c r="W3" s="33" t="n"/>
    </row>
    <row r="4">
      <c r="A4" s="33">
        <f>IF(B4="","","INT-"&amp;TEXT(ROW()-1,"0000"))</f>
        <v/>
      </c>
      <c r="B4" s="33" t="n"/>
      <c r="C4" s="33" t="n"/>
      <c r="D4" s="33" t="n"/>
      <c r="E4" s="33" t="n"/>
      <c r="F4" s="33" t="n"/>
      <c r="G4" s="33" t="n"/>
      <c r="H4" s="33" t="n"/>
      <c r="I4" s="33" t="n"/>
      <c r="J4" s="33" t="n"/>
      <c r="K4" s="33" t="n"/>
      <c r="L4" s="33" t="n"/>
      <c r="M4" s="33" t="n"/>
      <c r="N4" s="33" t="n"/>
      <c r="O4" s="33" t="n"/>
      <c r="P4" s="33" t="n"/>
      <c r="Q4" s="33" t="n"/>
      <c r="R4" s="33" t="n"/>
      <c r="S4" s="33" t="n"/>
      <c r="T4" s="33" t="n"/>
      <c r="U4" s="33" t="n"/>
      <c r="V4" s="33" t="n"/>
      <c r="W4" s="33" t="n"/>
    </row>
    <row r="5">
      <c r="A5" s="33">
        <f>IF(B5="","","INT-"&amp;TEXT(ROW()-1,"0000"))</f>
        <v/>
      </c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33" t="n"/>
      <c r="T5" s="33" t="n"/>
      <c r="U5" s="33" t="n"/>
      <c r="V5" s="33" t="n"/>
      <c r="W5" s="33" t="n"/>
    </row>
    <row r="6">
      <c r="A6" s="33">
        <f>IF(B6="","","INT-"&amp;TEXT(ROW()-1,"0000"))</f>
        <v/>
      </c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  <c r="S6" s="33" t="n"/>
      <c r="T6" s="33" t="n"/>
      <c r="U6" s="33" t="n"/>
      <c r="V6" s="33" t="n"/>
      <c r="W6" s="33" t="n"/>
    </row>
  </sheetData>
  <conditionalFormatting sqref="F2:F1000">
    <cfRule type="cellIs" priority="1" operator="equal" dxfId="0">
      <formula>"Critical"</formula>
    </cfRule>
    <cfRule type="cellIs" priority="2" operator="equal" dxfId="1">
      <formula>"High"</formula>
    </cfRule>
  </conditionalFormatting>
  <dataValidations count="7">
    <dataValidation sqref="D2:D1000" showDropDown="0" showInputMessage="0" showErrorMessage="0" allowBlank="1" errorTitle="Invalid" error="Select from dropdown" type="list">
      <formula1>=Lookups!$A$2:$A$18</formula1>
    </dataValidation>
    <dataValidation sqref="F2:F1000" showDropDown="0" showInputMessage="0" showErrorMessage="0" allowBlank="1" errorTitle="Invalid" error="Select from dropdown" type="list">
      <formula1>=Lookups!$B$2:$B$5</formula1>
    </dataValidation>
    <dataValidation sqref="H2:H1000" showDropDown="0" showInputMessage="0" showErrorMessage="0" allowBlank="1" errorTitle="Invalid" error="Select from dropdown" type="list">
      <formula1>=Lookups!$Q$2:$Q$3</formula1>
    </dataValidation>
    <dataValidation sqref="I2:I1000" showDropDown="0" showInputMessage="0" showErrorMessage="0" allowBlank="1" errorTitle="Invalid" error="Select from dropdown" type="list">
      <formula1>=Lookups!$Q$2:$Q$3</formula1>
    </dataValidation>
    <dataValidation sqref="J2:J1000" showDropDown="0" showInputMessage="0" showErrorMessage="0" allowBlank="1" errorTitle="Invalid" error="Select from dropdown" type="list">
      <formula1>=Lookups!$Q$2:$Q$3</formula1>
    </dataValidation>
    <dataValidation sqref="M2:M1000" showDropDown="0" showInputMessage="0" showErrorMessage="0" allowBlank="1" errorTitle="Invalid" error="Select from dropdown" type="list">
      <formula1>=Lookups!$P$2:$P$15</formula1>
    </dataValidation>
    <dataValidation sqref="O2:O1000" showDropDown="0" showInputMessage="0" showErrorMessage="0" allowBlank="1" errorTitle="Invalid" error="Select from dropdown" type="list">
      <formula1>=Lookups!$C$2:$C$9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26" customWidth="1" min="4" max="4"/>
    <col width="12" customWidth="1" min="5" max="5"/>
    <col width="14" customWidth="1" min="6" max="6"/>
    <col width="24" customWidth="1" min="7" max="7"/>
    <col width="10" customWidth="1" min="8" max="8"/>
    <col width="30" customWidth="1" min="9" max="9"/>
    <col width="14" customWidth="1" min="10" max="10"/>
    <col width="18" customWidth="1" min="11" max="11"/>
    <col width="20" customWidth="1" min="12" max="12"/>
    <col width="14" customWidth="1" min="13" max="13"/>
    <col width="18" customWidth="1" min="14" max="14"/>
    <col width="14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2" customWidth="1" min="21" max="21"/>
    <col width="10" customWidth="1" min="22" max="22"/>
    <col width="10" customWidth="1" min="23" max="23"/>
    <col width="12" customWidth="1" min="24" max="24"/>
    <col width="14" customWidth="1" min="25" max="25"/>
    <col width="10" customWidth="1" min="26" max="26"/>
    <col width="14" customWidth="1" min="27" max="27"/>
    <col width="10" customWidth="1" min="28" max="28"/>
    <col width="10" customWidth="1" min="29" max="29"/>
    <col width="30" customWidth="1" min="30" max="30"/>
    <col width="28" customWidth="1" min="31" max="31"/>
    <col width="14" customWidth="1" min="32" max="32"/>
    <col width="12" customWidth="1" min="33" max="33"/>
  </cols>
  <sheetData>
    <row r="1">
      <c r="A1" s="32" t="inlineStr">
        <is>
          <t>OpsID</t>
        </is>
      </c>
      <c r="B1" s="32" t="inlineStr">
        <is>
          <t>OpsName</t>
        </is>
      </c>
      <c r="C1" s="32" t="inlineStr">
        <is>
          <t>OpsDate</t>
        </is>
      </c>
      <c r="D1" s="32" t="inlineStr">
        <is>
          <t>OpsType</t>
        </is>
      </c>
      <c r="E1" s="32" t="inlineStr">
        <is>
          <t>LinkedIntelID</t>
        </is>
      </c>
      <c r="F1" s="32" t="inlineStr">
        <is>
          <t>Parish</t>
        </is>
      </c>
      <c r="G1" s="32" t="inlineStr">
        <is>
          <t>Location</t>
        </is>
      </c>
      <c r="H1" s="32" t="inlineStr">
        <is>
          <t>WarrantObtained</t>
        </is>
      </c>
      <c r="I1" s="32" t="inlineStr">
        <is>
          <t>WarrantBasis</t>
        </is>
      </c>
      <c r="J1" s="32" t="inlineStr">
        <is>
          <t>WarrantNumber</t>
        </is>
      </c>
      <c r="K1" s="32" t="inlineStr">
        <is>
          <t>IssuingJP</t>
        </is>
      </c>
      <c r="L1" s="32" t="inlineStr">
        <is>
          <t>AuthorizingOfficer</t>
        </is>
      </c>
      <c r="M1" s="32" t="inlineStr">
        <is>
          <t>AuthorizingRank</t>
        </is>
      </c>
      <c r="N1" s="32" t="inlineStr">
        <is>
          <t>TeamLeader</t>
        </is>
      </c>
      <c r="O1" s="32" t="inlineStr">
        <is>
          <t>TeamLeaderRank</t>
        </is>
      </c>
      <c r="P1" s="32" t="inlineStr">
        <is>
          <t>TeamSize</t>
        </is>
      </c>
      <c r="Q1" s="32" t="inlineStr">
        <is>
          <t>InspectorPresent</t>
        </is>
      </c>
      <c r="R1" s="32" t="inlineStr">
        <is>
          <t>BodyCamActivated</t>
        </is>
      </c>
      <c r="S1" s="32" t="inlineStr">
        <is>
          <t>StartTime</t>
        </is>
      </c>
      <c r="T1" s="32" t="inlineStr">
        <is>
          <t>EndTime</t>
        </is>
      </c>
      <c r="U1" s="32" t="inlineStr">
        <is>
          <t>Outcome</t>
        </is>
      </c>
      <c r="V1" s="32" t="inlineStr">
        <is>
          <t>FirearmsSeized</t>
        </is>
      </c>
      <c r="W1" s="32" t="inlineStr">
        <is>
          <t>AmmunitionSeized</t>
        </is>
      </c>
      <c r="X1" s="32" t="inlineStr">
        <is>
          <t>NarcoticsSeized_kg</t>
        </is>
      </c>
      <c r="Y1" s="32" t="inlineStr">
        <is>
          <t>CashSeized_JMD</t>
        </is>
      </c>
      <c r="Z1" s="32" t="inlineStr">
        <is>
          <t>VehiclesSeized</t>
        </is>
      </c>
      <c r="AA1" s="32" t="inlineStr">
        <is>
          <t>OtherExhibits</t>
        </is>
      </c>
      <c r="AB1" s="32" t="inlineStr">
        <is>
          <t>ArrestsMade</t>
        </is>
      </c>
      <c r="AC1" s="32" t="inlineStr">
        <is>
          <t>AfterActionCompleted</t>
        </is>
      </c>
      <c r="AD1" s="32" t="inlineStr">
        <is>
          <t>AfterActionNotes</t>
        </is>
      </c>
      <c r="AE1" s="32" t="inlineStr">
        <is>
          <t>INCOMPlianceFlags</t>
        </is>
      </c>
      <c r="AF1" s="32" t="inlineStr">
        <is>
          <t>CreatedBy</t>
        </is>
      </c>
      <c r="AG1" s="32" t="inlineStr">
        <is>
          <t>CreatedDate</t>
        </is>
      </c>
    </row>
    <row r="2">
      <c r="A2" s="33">
        <f>IF(C2="","","OPS-"&amp;TEXT(ROW()-1,"0000"))</f>
        <v/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  <c r="Q2" s="33" t="n"/>
      <c r="R2" s="33" t="n"/>
      <c r="S2" s="33" t="n"/>
      <c r="T2" s="33" t="n"/>
      <c r="U2" s="33" t="n"/>
      <c r="V2" s="33" t="n"/>
      <c r="W2" s="33" t="n"/>
      <c r="X2" s="33" t="n"/>
      <c r="Y2" s="33" t="n"/>
      <c r="Z2" s="33" t="n"/>
      <c r="AA2" s="33" t="n"/>
      <c r="AB2" s="33" t="n"/>
      <c r="AC2" s="33" t="n"/>
      <c r="AD2" s="33" t="n"/>
      <c r="AE2" s="33" t="n"/>
      <c r="AF2" s="33" t="n"/>
      <c r="AG2" s="33" t="n"/>
    </row>
    <row r="3">
      <c r="A3" s="33">
        <f>IF(C3="","","OPS-"&amp;TEXT(ROW()-1,"0000"))</f>
        <v/>
      </c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  <c r="Q3" s="33" t="n"/>
      <c r="R3" s="33" t="n"/>
      <c r="S3" s="33" t="n"/>
      <c r="T3" s="33" t="n"/>
      <c r="U3" s="33" t="n"/>
      <c r="V3" s="33" t="n"/>
      <c r="W3" s="33" t="n"/>
      <c r="X3" s="33" t="n"/>
      <c r="Y3" s="33" t="n"/>
      <c r="Z3" s="33" t="n"/>
      <c r="AA3" s="33" t="n"/>
      <c r="AB3" s="33" t="n"/>
      <c r="AC3" s="33" t="n"/>
      <c r="AD3" s="33" t="n"/>
      <c r="AE3" s="33" t="n"/>
      <c r="AF3" s="33" t="n"/>
      <c r="AG3" s="33" t="n"/>
    </row>
    <row r="4">
      <c r="A4" s="33">
        <f>IF(C4="","","OPS-"&amp;TEXT(ROW()-1,"0000"))</f>
        <v/>
      </c>
      <c r="B4" s="33" t="n"/>
      <c r="C4" s="33" t="n"/>
      <c r="D4" s="33" t="n"/>
      <c r="E4" s="33" t="n"/>
      <c r="F4" s="33" t="n"/>
      <c r="G4" s="33" t="n"/>
      <c r="H4" s="33" t="n"/>
      <c r="I4" s="33" t="n"/>
      <c r="J4" s="33" t="n"/>
      <c r="K4" s="33" t="n"/>
      <c r="L4" s="33" t="n"/>
      <c r="M4" s="33" t="n"/>
      <c r="N4" s="33" t="n"/>
      <c r="O4" s="33" t="n"/>
      <c r="P4" s="33" t="n"/>
      <c r="Q4" s="33" t="n"/>
      <c r="R4" s="33" t="n"/>
      <c r="S4" s="33" t="n"/>
      <c r="T4" s="33" t="n"/>
      <c r="U4" s="33" t="n"/>
      <c r="V4" s="33" t="n"/>
      <c r="W4" s="33" t="n"/>
      <c r="X4" s="33" t="n"/>
      <c r="Y4" s="33" t="n"/>
      <c r="Z4" s="33" t="n"/>
      <c r="AA4" s="33" t="n"/>
      <c r="AB4" s="33" t="n"/>
      <c r="AC4" s="33" t="n"/>
      <c r="AD4" s="33" t="n"/>
      <c r="AE4" s="33" t="n"/>
      <c r="AF4" s="33" t="n"/>
      <c r="AG4" s="33" t="n"/>
    </row>
    <row r="5">
      <c r="A5" s="33">
        <f>IF(C5="","","OPS-"&amp;TEXT(ROW()-1,"0000"))</f>
        <v/>
      </c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33" t="n"/>
      <c r="T5" s="33" t="n"/>
      <c r="U5" s="33" t="n"/>
      <c r="V5" s="33" t="n"/>
      <c r="W5" s="33" t="n"/>
      <c r="X5" s="33" t="n"/>
      <c r="Y5" s="33" t="n"/>
      <c r="Z5" s="33" t="n"/>
      <c r="AA5" s="33" t="n"/>
      <c r="AB5" s="33" t="n"/>
      <c r="AC5" s="33" t="n"/>
      <c r="AD5" s="33" t="n"/>
      <c r="AE5" s="33" t="n"/>
      <c r="AF5" s="33" t="n"/>
      <c r="AG5" s="33" t="n"/>
    </row>
    <row r="6">
      <c r="A6" s="33">
        <f>IF(C6="","","OPS-"&amp;TEXT(ROW()-1,"0000"))</f>
        <v/>
      </c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  <c r="S6" s="33" t="n"/>
      <c r="T6" s="33" t="n"/>
      <c r="U6" s="33" t="n"/>
      <c r="V6" s="33" t="n"/>
      <c r="W6" s="33" t="n"/>
      <c r="X6" s="33" t="n"/>
      <c r="Y6" s="33" t="n"/>
      <c r="Z6" s="33" t="n"/>
      <c r="AA6" s="33" t="n"/>
      <c r="AB6" s="33" t="n"/>
      <c r="AC6" s="33" t="n"/>
      <c r="AD6" s="33" t="n"/>
      <c r="AE6" s="33" t="n"/>
      <c r="AF6" s="33" t="n"/>
      <c r="AG6" s="33" t="n"/>
    </row>
  </sheetData>
  <conditionalFormatting sqref="Q2:Q1000">
    <cfRule type="cellIs" priority="1" operator="equal" dxfId="0">
      <formula>"No"</formula>
    </cfRule>
  </conditionalFormatting>
  <conditionalFormatting sqref="R2:R1000">
    <cfRule type="cellIs" priority="2" operator="equal" dxfId="1">
      <formula>"No"</formula>
    </cfRule>
  </conditionalFormatting>
  <dataValidations count="8">
    <dataValidation sqref="D2:D1000" showDropDown="0" showInputMessage="0" showErrorMessage="0" allowBlank="1" errorTitle="Invalid" error="Select from dropdown" type="list">
      <formula1>=Lookups!$D$2:$D$18</formula1>
    </dataValidation>
    <dataValidation sqref="F2:F1000" showDropDown="0" showInputMessage="0" showErrorMessage="0" allowBlank="1" errorTitle="Invalid" error="Select from dropdown" type="list">
      <formula1>=Lookups!$P$2:$P$15</formula1>
    </dataValidation>
    <dataValidation sqref="H2:H1000" showDropDown="0" showInputMessage="0" showErrorMessage="0" allowBlank="1" errorTitle="Invalid" error="Select from dropdown" type="list">
      <formula1>=Lookups!$Q$2:$Q$3</formula1>
    </dataValidation>
    <dataValidation sqref="I2:I1000" showDropDown="0" showInputMessage="0" showErrorMessage="0" allowBlank="1" errorTitle="Invalid" error="Select from dropdown" type="list">
      <formula1>=Lookups!$E$2:$E$7</formula1>
    </dataValidation>
    <dataValidation sqref="Q2:Q1000" showDropDown="0" showInputMessage="0" showErrorMessage="0" allowBlank="1" errorTitle="Invalid" error="Select from dropdown" type="list">
      <formula1>=Lookups!$Q$2:$Q$3</formula1>
    </dataValidation>
    <dataValidation sqref="R2:R1000" showDropDown="0" showInputMessage="0" showErrorMessage="0" allowBlank="1" errorTitle="Invalid" error="Select from dropdown" type="list">
      <formula1>=Lookups!$Q$2:$Q$3</formula1>
    </dataValidation>
    <dataValidation sqref="U2:U1000" showDropDown="0" showInputMessage="0" showErrorMessage="0" allowBlank="1" errorTitle="Invalid" error="Select from dropdown" type="list">
      <formula1>=Lookups!$R$2:$R$9</formula1>
    </dataValidation>
    <dataValidation sqref="AC2:AC1000" showDropDown="0" showInputMessage="0" showErrorMessage="0" allowBlank="1" errorTitle="Invalid" error="Select from dropdown" type="list">
      <formula1>=Lookups!$Q$2:$Q$3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A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2" customWidth="1" min="5" max="5"/>
    <col width="14" customWidth="1" min="6" max="6"/>
    <col width="20" customWidth="1" min="7" max="7"/>
    <col width="16" customWidth="1" min="8" max="8"/>
    <col width="16" customWidth="1" min="9" max="9"/>
    <col width="12" customWidth="1" min="10" max="10"/>
    <col width="16" customWidth="1" min="11" max="11"/>
    <col width="14" customWidth="1" min="12" max="12"/>
    <col width="12" customWidth="1" min="13" max="13"/>
    <col width="8" customWidth="1" min="14" max="14"/>
    <col width="8" customWidth="1" min="15" max="15"/>
    <col width="10" customWidth="1" min="16" max="16"/>
    <col width="10" customWidth="1" min="17" max="17"/>
    <col width="12" customWidth="1" min="18" max="18"/>
    <col width="18" customWidth="1" min="19" max="19"/>
    <col width="14" customWidth="1" min="20" max="20"/>
    <col width="24" customWidth="1" min="21" max="21"/>
    <col width="10" customWidth="1" min="22" max="22"/>
    <col width="18" customWidth="1" min="23" max="23"/>
    <col width="16" customWidth="1" min="24" max="24"/>
    <col width="16" customWidth="1" min="25" max="25"/>
    <col width="20" customWidth="1" min="26" max="26"/>
    <col width="14" customWidth="1" min="27" max="27"/>
    <col width="16" customWidth="1" min="28" max="28"/>
    <col width="12" customWidth="1" min="29" max="29"/>
    <col width="18" customWidth="1" min="30" max="30"/>
    <col width="24" customWidth="1" min="31" max="31"/>
    <col width="10" customWidth="1" min="32" max="32"/>
    <col width="10" customWidth="1" min="33" max="33"/>
    <col width="10" customWidth="1" min="34" max="34"/>
    <col width="10" customWidth="1" min="35" max="35"/>
    <col width="16" customWidth="1" min="36" max="36"/>
    <col width="16" customWidth="1" min="37" max="37"/>
    <col width="14" customWidth="1" min="38" max="38"/>
    <col width="12" customWidth="1" min="39" max="39"/>
  </cols>
  <sheetData>
    <row r="1">
      <c r="A1" s="32" t="inlineStr">
        <is>
          <t>SeizureID</t>
        </is>
      </c>
      <c r="B1" s="32" t="inlineStr">
        <is>
          <t>LinkedOpsID</t>
        </is>
      </c>
      <c r="C1" s="32" t="inlineStr">
        <is>
          <t>LinkedCaseID</t>
        </is>
      </c>
      <c r="D1" s="32" t="inlineStr">
        <is>
          <t>SeizureDate</t>
        </is>
      </c>
      <c r="E1" s="32" t="inlineStr">
        <is>
          <t>SeizureLocation</t>
        </is>
      </c>
      <c r="F1" s="32" t="inlineStr">
        <is>
          <t>Parish</t>
        </is>
      </c>
      <c r="G1" s="32" t="inlineStr">
        <is>
          <t>FirearmType</t>
        </is>
      </c>
      <c r="H1" s="32" t="inlineStr">
        <is>
          <t>Make</t>
        </is>
      </c>
      <c r="I1" s="32" t="inlineStr">
        <is>
          <t>Model</t>
        </is>
      </c>
      <c r="J1" s="32" t="inlineStr">
        <is>
          <t>Calibre</t>
        </is>
      </c>
      <c r="K1" s="32" t="inlineStr">
        <is>
          <t>SerialNumber</t>
        </is>
      </c>
      <c r="L1" s="32" t="inlineStr">
        <is>
          <t>SerialStatus</t>
        </is>
      </c>
      <c r="M1" s="32" t="inlineStr">
        <is>
          <t>Condition</t>
        </is>
      </c>
      <c r="N1" s="32" t="inlineStr">
        <is>
          <t>Loaded</t>
        </is>
      </c>
      <c r="O1" s="32" t="inlineStr">
        <is>
          <t>RoundsChamber</t>
        </is>
      </c>
      <c r="P1" s="32" t="inlineStr">
        <is>
          <t>MagazineCapacity</t>
        </is>
      </c>
      <c r="Q1" s="32" t="inlineStr">
        <is>
          <t>IBIS_Submitted</t>
        </is>
      </c>
      <c r="R1" s="32" t="inlineStr">
        <is>
          <t>IBIS_SubmitDate</t>
        </is>
      </c>
      <c r="S1" s="32" t="inlineStr">
        <is>
          <t>IBIS_Status</t>
        </is>
      </c>
      <c r="T1" s="32" t="inlineStr">
        <is>
          <t>IBIS_MatchCaseID</t>
        </is>
      </c>
      <c r="U1" s="32" t="inlineStr">
        <is>
          <t>IBIS_MatchDetails</t>
        </is>
      </c>
      <c r="V1" s="32" t="inlineStr">
        <is>
          <t>eTrace_Submitted</t>
        </is>
      </c>
      <c r="W1" s="32" t="inlineStr">
        <is>
          <t>eTrace_Status</t>
        </is>
      </c>
      <c r="X1" s="32" t="inlineStr">
        <is>
          <t>eTrace_TraceNumber</t>
        </is>
      </c>
      <c r="Y1" s="32" t="inlineStr">
        <is>
          <t>CountryOfOrigin</t>
        </is>
      </c>
      <c r="Z1" s="32" t="inlineStr">
        <is>
          <t>LastKnownPurchaser</t>
        </is>
      </c>
      <c r="AA1" s="32" t="inlineStr">
        <is>
          <t>US_State</t>
        </is>
      </c>
      <c r="AB1" s="32" t="inlineStr">
        <is>
          <t>BallisticCertStatus</t>
        </is>
      </c>
      <c r="AC1" s="32" t="inlineStr">
        <is>
          <t>BallisticCertDate</t>
        </is>
      </c>
      <c r="AD1" s="32" t="inlineStr">
        <is>
          <t>BallisticExaminer</t>
        </is>
      </c>
      <c r="AE1" s="32" t="inlineStr">
        <is>
          <t>BallisticResult</t>
        </is>
      </c>
      <c r="AF1" s="32" t="inlineStr">
        <is>
          <t>ForensicRecoveryBag</t>
        </is>
      </c>
      <c r="AG1" s="32" t="inlineStr">
        <is>
          <t>EvidencePhotographed</t>
        </is>
      </c>
      <c r="AH1" s="32" t="inlineStr">
        <is>
          <t>MarkedByCommissioner</t>
        </is>
      </c>
      <c r="AI1" s="32" t="inlineStr">
        <is>
          <t>CourtReady</t>
        </is>
      </c>
      <c r="AJ1" s="32" t="inlineStr">
        <is>
          <t>DisposalStatus</t>
        </is>
      </c>
      <c r="AK1" s="32" t="inlineStr">
        <is>
          <t>SeizingOfficer</t>
        </is>
      </c>
      <c r="AL1" s="32" t="inlineStr">
        <is>
          <t>CreatedBy</t>
        </is>
      </c>
      <c r="AM1" s="32" t="inlineStr">
        <is>
          <t>CreatedDate</t>
        </is>
      </c>
    </row>
    <row r="2">
      <c r="A2" s="33">
        <f>IF(D2="","","FS-"&amp;TEXT(ROW()-1,"0000"))</f>
        <v/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  <c r="Q2" s="33" t="n"/>
      <c r="R2" s="33" t="n"/>
      <c r="S2" s="33" t="n"/>
      <c r="T2" s="33" t="n"/>
      <c r="U2" s="33" t="n"/>
      <c r="V2" s="33" t="n"/>
      <c r="W2" s="33" t="n"/>
      <c r="X2" s="33" t="n"/>
      <c r="Y2" s="33" t="n"/>
      <c r="Z2" s="33" t="n"/>
      <c r="AA2" s="33" t="n"/>
      <c r="AB2" s="33" t="n"/>
      <c r="AC2" s="33" t="n"/>
      <c r="AD2" s="33" t="n"/>
      <c r="AE2" s="33" t="n"/>
      <c r="AF2" s="33" t="n"/>
      <c r="AG2" s="33" t="n"/>
      <c r="AH2" s="33" t="n"/>
      <c r="AI2" s="33" t="n"/>
      <c r="AJ2" s="33" t="n"/>
      <c r="AK2" s="33" t="n"/>
      <c r="AL2" s="33" t="n"/>
      <c r="AM2" s="33" t="n"/>
    </row>
    <row r="3">
      <c r="A3" s="33">
        <f>IF(D3="","","FS-"&amp;TEXT(ROW()-1,"0000"))</f>
        <v/>
      </c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  <c r="Q3" s="33" t="n"/>
      <c r="R3" s="33" t="n"/>
      <c r="S3" s="33" t="n"/>
      <c r="T3" s="33" t="n"/>
      <c r="U3" s="33" t="n"/>
      <c r="V3" s="33" t="n"/>
      <c r="W3" s="33" t="n"/>
      <c r="X3" s="33" t="n"/>
      <c r="Y3" s="33" t="n"/>
      <c r="Z3" s="33" t="n"/>
      <c r="AA3" s="33" t="n"/>
      <c r="AB3" s="33" t="n"/>
      <c r="AC3" s="33" t="n"/>
      <c r="AD3" s="33" t="n"/>
      <c r="AE3" s="33" t="n"/>
      <c r="AF3" s="33" t="n"/>
      <c r="AG3" s="33" t="n"/>
      <c r="AH3" s="33" t="n"/>
      <c r="AI3" s="33" t="n"/>
      <c r="AJ3" s="33" t="n"/>
      <c r="AK3" s="33" t="n"/>
      <c r="AL3" s="33" t="n"/>
      <c r="AM3" s="33" t="n"/>
    </row>
    <row r="4">
      <c r="A4" s="33">
        <f>IF(D4="","","FS-"&amp;TEXT(ROW()-1,"0000"))</f>
        <v/>
      </c>
      <c r="B4" s="33" t="n"/>
      <c r="C4" s="33" t="n"/>
      <c r="D4" s="33" t="n"/>
      <c r="E4" s="33" t="n"/>
      <c r="F4" s="33" t="n"/>
      <c r="G4" s="33" t="n"/>
      <c r="H4" s="33" t="n"/>
      <c r="I4" s="33" t="n"/>
      <c r="J4" s="33" t="n"/>
      <c r="K4" s="33" t="n"/>
      <c r="L4" s="33" t="n"/>
      <c r="M4" s="33" t="n"/>
      <c r="N4" s="33" t="n"/>
      <c r="O4" s="33" t="n"/>
      <c r="P4" s="33" t="n"/>
      <c r="Q4" s="33" t="n"/>
      <c r="R4" s="33" t="n"/>
      <c r="S4" s="33" t="n"/>
      <c r="T4" s="33" t="n"/>
      <c r="U4" s="33" t="n"/>
      <c r="V4" s="33" t="n"/>
      <c r="W4" s="33" t="n"/>
      <c r="X4" s="33" t="n"/>
      <c r="Y4" s="33" t="n"/>
      <c r="Z4" s="33" t="n"/>
      <c r="AA4" s="33" t="n"/>
      <c r="AB4" s="33" t="n"/>
      <c r="AC4" s="33" t="n"/>
      <c r="AD4" s="33" t="n"/>
      <c r="AE4" s="33" t="n"/>
      <c r="AF4" s="33" t="n"/>
      <c r="AG4" s="33" t="n"/>
      <c r="AH4" s="33" t="n"/>
      <c r="AI4" s="33" t="n"/>
      <c r="AJ4" s="33" t="n"/>
      <c r="AK4" s="33" t="n"/>
      <c r="AL4" s="33" t="n"/>
      <c r="AM4" s="33" t="n"/>
    </row>
    <row r="5">
      <c r="A5" s="33">
        <f>IF(D5="","","FS-"&amp;TEXT(ROW()-1,"0000"))</f>
        <v/>
      </c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33" t="n"/>
      <c r="T5" s="33" t="n"/>
      <c r="U5" s="33" t="n"/>
      <c r="V5" s="33" t="n"/>
      <c r="W5" s="33" t="n"/>
      <c r="X5" s="33" t="n"/>
      <c r="Y5" s="33" t="n"/>
      <c r="Z5" s="33" t="n"/>
      <c r="AA5" s="33" t="n"/>
      <c r="AB5" s="33" t="n"/>
      <c r="AC5" s="33" t="n"/>
      <c r="AD5" s="33" t="n"/>
      <c r="AE5" s="33" t="n"/>
      <c r="AF5" s="33" t="n"/>
      <c r="AG5" s="33" t="n"/>
      <c r="AH5" s="33" t="n"/>
      <c r="AI5" s="33" t="n"/>
      <c r="AJ5" s="33" t="n"/>
      <c r="AK5" s="33" t="n"/>
      <c r="AL5" s="33" t="n"/>
      <c r="AM5" s="33" t="n"/>
    </row>
    <row r="6">
      <c r="A6" s="33">
        <f>IF(D6="","","FS-"&amp;TEXT(ROW()-1,"0000"))</f>
        <v/>
      </c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  <c r="S6" s="33" t="n"/>
      <c r="T6" s="33" t="n"/>
      <c r="U6" s="33" t="n"/>
      <c r="V6" s="33" t="n"/>
      <c r="W6" s="33" t="n"/>
      <c r="X6" s="33" t="n"/>
      <c r="Y6" s="33" t="n"/>
      <c r="Z6" s="33" t="n"/>
      <c r="AA6" s="33" t="n"/>
      <c r="AB6" s="33" t="n"/>
      <c r="AC6" s="33" t="n"/>
      <c r="AD6" s="33" t="n"/>
      <c r="AE6" s="33" t="n"/>
      <c r="AF6" s="33" t="n"/>
      <c r="AG6" s="33" t="n"/>
      <c r="AH6" s="33" t="n"/>
      <c r="AI6" s="33" t="n"/>
      <c r="AJ6" s="33" t="n"/>
      <c r="AK6" s="33" t="n"/>
      <c r="AL6" s="33" t="n"/>
      <c r="AM6" s="33" t="n"/>
    </row>
  </sheetData>
  <conditionalFormatting sqref="AB2:AB1000">
    <cfRule type="cellIs" priority="1" operator="equal" dxfId="0">
      <formula>"Certificate Overdue"</formula>
    </cfRule>
  </conditionalFormatting>
  <conditionalFormatting sqref="S2:S1000">
    <cfRule type="expression" priority="2" dxfId="2">
      <formula>=LEFT(S2,3)="Hit"</formula>
    </cfRule>
  </conditionalFormatting>
  <dataValidations count="11">
    <dataValidation sqref="E2:E1000" showDropDown="0" showInputMessage="0" showErrorMessage="0" allowBlank="1" errorTitle="Invalid" error="Select from dropdown" type="list">
      <formula1>=Lookups!$S$2:$S$15</formula1>
    </dataValidation>
    <dataValidation sqref="F2:F1000" showDropDown="0" showInputMessage="0" showErrorMessage="0" allowBlank="1" errorTitle="Invalid" error="Select from dropdown" type="list">
      <formula1>=Lookups!$P$2:$P$15</formula1>
    </dataValidation>
    <dataValidation sqref="G2:G1000" showDropDown="0" showInputMessage="0" showErrorMessage="0" allowBlank="1" errorTitle="Invalid" error="Select from dropdown" type="list">
      <formula1>=Lookups!$F$2:$F$17</formula1>
    </dataValidation>
    <dataValidation sqref="J2:J1000" showDropDown="0" showInputMessage="0" showErrorMessage="0" allowBlank="1" errorTitle="Invalid" error="Select from dropdown" type="list">
      <formula1>=Lookups!$G$2:$G$16</formula1>
    </dataValidation>
    <dataValidation sqref="S2:S1000" showDropDown="0" showInputMessage="0" showErrorMessage="0" allowBlank="1" errorTitle="Invalid" error="Select from dropdown" type="list">
      <formula1>=Lookups!$T$2:$T$7</formula1>
    </dataValidation>
    <dataValidation sqref="W2:W1000" showDropDown="0" showInputMessage="0" showErrorMessage="0" allowBlank="1" errorTitle="Invalid" error="Select from dropdown" type="list">
      <formula1>=Lookups!$U$2:$U$8</formula1>
    </dataValidation>
    <dataValidation sqref="AB2:AB1000" showDropDown="0" showInputMessage="0" showErrorMessage="0" allowBlank="1" errorTitle="Invalid" error="Select from dropdown" type="list">
      <formula1>=Lookups!$O$2:$O$8</formula1>
    </dataValidation>
    <dataValidation sqref="AF2:AF1000" showDropDown="0" showInputMessage="0" showErrorMessage="0" allowBlank="1" errorTitle="Invalid" error="Select from dropdown" type="list">
      <formula1>=Lookups!$Q$2:$Q$3</formula1>
    </dataValidation>
    <dataValidation sqref="AG2:AG1000" showDropDown="0" showInputMessage="0" showErrorMessage="0" allowBlank="1" errorTitle="Invalid" error="Select from dropdown" type="list">
      <formula1>=Lookups!$Q$2:$Q$3</formula1>
    </dataValidation>
    <dataValidation sqref="AH2:AH1000" showDropDown="0" showInputMessage="0" showErrorMessage="0" allowBlank="1" errorTitle="Invalid" error="Select from dropdown" type="list">
      <formula1>=Lookups!$Q$2:$Q$3</formula1>
    </dataValidation>
    <dataValidation sqref="AI2:AI1000" showDropDown="0" showInputMessage="0" showErrorMessage="0" allowBlank="1" errorTitle="Invalid" error="Select from dropdown" type="list">
      <formula1>=Lookups!$V$2:$V$7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00B0F0"/>
    <outlinePr summaryBelow="1" summaryRight="1"/>
    <pageSetUpPr/>
  </sheetPr>
  <dimension ref="A1:A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2" customWidth="1" min="5" max="5"/>
    <col width="14" customWidth="1" min="6" max="6"/>
    <col width="24" customWidth="1" min="7" max="7"/>
    <col width="10" customWidth="1" min="8" max="8"/>
    <col width="8" customWidth="1" min="9" max="9"/>
    <col width="20" customWidth="1" min="10" max="10"/>
    <col width="14" customWidth="1" min="11" max="11"/>
    <col width="22" customWidth="1" min="12" max="12"/>
    <col width="10" customWidth="1" min="13" max="13"/>
    <col width="14" customWidth="1" min="14" max="14"/>
    <col width="10" customWidth="1" min="15" max="15"/>
    <col width="12" customWidth="1" min="16" max="16"/>
    <col width="14" customWidth="1" min="17" max="17"/>
    <col width="16" customWidth="1" min="18" max="18"/>
    <col width="12" customWidth="1" min="19" max="19"/>
    <col width="20" customWidth="1" min="20" max="20"/>
    <col width="16" customWidth="1" min="21" max="21"/>
    <col width="10" customWidth="1" min="22" max="22"/>
    <col width="10" customWidth="1" min="23" max="23"/>
    <col width="10" customWidth="1" min="24" max="24"/>
    <col width="18" customWidth="1" min="25" max="25"/>
    <col width="12" customWidth="1" min="26" max="26"/>
    <col width="18" customWidth="1" min="27" max="27"/>
    <col width="10" customWidth="1" min="28" max="28"/>
    <col width="16" customWidth="1" min="29" max="29"/>
    <col width="14" customWidth="1" min="30" max="30"/>
    <col width="12" customWidth="1" min="31" max="31"/>
  </cols>
  <sheetData>
    <row r="1">
      <c r="A1" s="32" t="inlineStr">
        <is>
          <t>SeizureID</t>
        </is>
      </c>
      <c r="B1" s="32" t="inlineStr">
        <is>
          <t>LinkedOpsID</t>
        </is>
      </c>
      <c r="C1" s="32" t="inlineStr">
        <is>
          <t>LinkedCaseID</t>
        </is>
      </c>
      <c r="D1" s="32" t="inlineStr">
        <is>
          <t>SeizureDate</t>
        </is>
      </c>
      <c r="E1" s="32" t="inlineStr">
        <is>
          <t>SeizureLocation</t>
        </is>
      </c>
      <c r="F1" s="32" t="inlineStr">
        <is>
          <t>Parish</t>
        </is>
      </c>
      <c r="G1" s="32" t="inlineStr">
        <is>
          <t>DrugType</t>
        </is>
      </c>
      <c r="H1" s="32" t="inlineStr">
        <is>
          <t>Quantity</t>
        </is>
      </c>
      <c r="I1" s="32" t="inlineStr">
        <is>
          <t>Unit</t>
        </is>
      </c>
      <c r="J1" s="32" t="inlineStr">
        <is>
          <t>PackagingDesc</t>
        </is>
      </c>
      <c r="K1" s="32" t="inlineStr">
        <is>
          <t>EstStreetValue_JMD</t>
        </is>
      </c>
      <c r="L1" s="32" t="inlineStr">
        <is>
          <t>Concealment</t>
        </is>
      </c>
      <c r="M1" s="32" t="inlineStr">
        <is>
          <t>FieldTestConducted</t>
        </is>
      </c>
      <c r="N1" s="32" t="inlineStr">
        <is>
          <t>FieldTestResult</t>
        </is>
      </c>
      <c r="O1" s="32" t="inlineStr">
        <is>
          <t>SubmittedToIFSLM</t>
        </is>
      </c>
      <c r="P1" s="32" t="inlineStr">
        <is>
          <t>IFSLM_SubmitDate</t>
        </is>
      </c>
      <c r="Q1" s="32" t="inlineStr">
        <is>
          <t>IFSLM_LabNumber</t>
        </is>
      </c>
      <c r="R1" s="32" t="inlineStr">
        <is>
          <t>ForensicCertStatus</t>
        </is>
      </c>
      <c r="S1" s="32" t="inlineStr">
        <is>
          <t>ForensicCertDate</t>
        </is>
      </c>
      <c r="T1" s="32" t="inlineStr">
        <is>
          <t>ForensicResult</t>
        </is>
      </c>
      <c r="U1" s="32" t="inlineStr">
        <is>
          <t>AnalystName</t>
        </is>
      </c>
      <c r="V1" s="32" t="inlineStr">
        <is>
          <t>LinkedToGunTrade</t>
        </is>
      </c>
      <c r="W1" s="32" t="inlineStr">
        <is>
          <t>EstEquivFirearms</t>
        </is>
      </c>
      <c r="X1" s="32" t="inlineStr">
        <is>
          <t>DisposalAuthorized</t>
        </is>
      </c>
      <c r="Y1" s="32" t="inlineStr">
        <is>
          <t>DisposalAuthorizedBy</t>
        </is>
      </c>
      <c r="Z1" s="32" t="inlineStr">
        <is>
          <t>DisposalDate</t>
        </is>
      </c>
      <c r="AA1" s="32" t="inlineStr">
        <is>
          <t>DisposalWitnesses</t>
        </is>
      </c>
      <c r="AB1" s="32" t="inlineStr">
        <is>
          <t>CourtReady</t>
        </is>
      </c>
      <c r="AC1" s="32" t="inlineStr">
        <is>
          <t>SeizingOfficer</t>
        </is>
      </c>
      <c r="AD1" s="32" t="inlineStr">
        <is>
          <t>CreatedBy</t>
        </is>
      </c>
      <c r="AE1" s="32" t="inlineStr">
        <is>
          <t>CreatedDate</t>
        </is>
      </c>
    </row>
    <row r="2">
      <c r="A2" s="33">
        <f>IF(D2="","","NS-"&amp;TEXT(ROW()-1,"0000"))</f>
        <v/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  <c r="Q2" s="33" t="n"/>
      <c r="R2" s="33" t="n"/>
      <c r="S2" s="33" t="n"/>
      <c r="T2" s="33" t="n"/>
      <c r="U2" s="33" t="n"/>
      <c r="V2" s="33" t="n"/>
      <c r="W2" s="33">
        <f>IF(AND(V2="Yes",I2="lbs"),ROUND(H2/50,0),"")</f>
        <v/>
      </c>
      <c r="X2" s="33" t="n"/>
      <c r="Y2" s="33" t="n"/>
      <c r="Z2" s="33" t="n"/>
      <c r="AA2" s="33" t="n"/>
      <c r="AB2" s="33" t="n"/>
      <c r="AC2" s="33" t="n"/>
      <c r="AD2" s="33" t="n"/>
      <c r="AE2" s="33" t="n"/>
    </row>
    <row r="3">
      <c r="A3" s="33">
        <f>IF(D3="","","NS-"&amp;TEXT(ROW()-1,"0000"))</f>
        <v/>
      </c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  <c r="Q3" s="33" t="n"/>
      <c r="R3" s="33" t="n"/>
      <c r="S3" s="33" t="n"/>
      <c r="T3" s="33" t="n"/>
      <c r="U3" s="33" t="n"/>
      <c r="V3" s="33" t="n"/>
      <c r="W3" s="33">
        <f>IF(AND(V3="Yes",I3="lbs"),ROUND(H3/50,0),"")</f>
        <v/>
      </c>
      <c r="X3" s="33" t="n"/>
      <c r="Y3" s="33" t="n"/>
      <c r="Z3" s="33" t="n"/>
      <c r="AA3" s="33" t="n"/>
      <c r="AB3" s="33" t="n"/>
      <c r="AC3" s="33" t="n"/>
      <c r="AD3" s="33" t="n"/>
      <c r="AE3" s="33" t="n"/>
    </row>
    <row r="4">
      <c r="A4" s="33">
        <f>IF(D4="","","NS-"&amp;TEXT(ROW()-1,"0000"))</f>
        <v/>
      </c>
      <c r="B4" s="33" t="n"/>
      <c r="C4" s="33" t="n"/>
      <c r="D4" s="33" t="n"/>
      <c r="E4" s="33" t="n"/>
      <c r="F4" s="33" t="n"/>
      <c r="G4" s="33" t="n"/>
      <c r="H4" s="33" t="n"/>
      <c r="I4" s="33" t="n"/>
      <c r="J4" s="33" t="n"/>
      <c r="K4" s="33" t="n"/>
      <c r="L4" s="33" t="n"/>
      <c r="M4" s="33" t="n"/>
      <c r="N4" s="33" t="n"/>
      <c r="O4" s="33" t="n"/>
      <c r="P4" s="33" t="n"/>
      <c r="Q4" s="33" t="n"/>
      <c r="R4" s="33" t="n"/>
      <c r="S4" s="33" t="n"/>
      <c r="T4" s="33" t="n"/>
      <c r="U4" s="33" t="n"/>
      <c r="V4" s="33" t="n"/>
      <c r="W4" s="33">
        <f>IF(AND(V4="Yes",I4="lbs"),ROUND(H4/50,0),"")</f>
        <v/>
      </c>
      <c r="X4" s="33" t="n"/>
      <c r="Y4" s="33" t="n"/>
      <c r="Z4" s="33" t="n"/>
      <c r="AA4" s="33" t="n"/>
      <c r="AB4" s="33" t="n"/>
      <c r="AC4" s="33" t="n"/>
      <c r="AD4" s="33" t="n"/>
      <c r="AE4" s="33" t="n"/>
    </row>
    <row r="5">
      <c r="A5" s="33">
        <f>IF(D5="","","NS-"&amp;TEXT(ROW()-1,"0000"))</f>
        <v/>
      </c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33" t="n"/>
      <c r="T5" s="33" t="n"/>
      <c r="U5" s="33" t="n"/>
      <c r="V5" s="33" t="n"/>
      <c r="W5" s="33">
        <f>IF(AND(V5="Yes",I5="lbs"),ROUND(H5/50,0),"")</f>
        <v/>
      </c>
      <c r="X5" s="33" t="n"/>
      <c r="Y5" s="33" t="n"/>
      <c r="Z5" s="33" t="n"/>
      <c r="AA5" s="33" t="n"/>
      <c r="AB5" s="33" t="n"/>
      <c r="AC5" s="33" t="n"/>
      <c r="AD5" s="33" t="n"/>
      <c r="AE5" s="33" t="n"/>
    </row>
    <row r="6">
      <c r="A6" s="33">
        <f>IF(D6="","","NS-"&amp;TEXT(ROW()-1,"0000"))</f>
        <v/>
      </c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  <c r="S6" s="33" t="n"/>
      <c r="T6" s="33" t="n"/>
      <c r="U6" s="33" t="n"/>
      <c r="V6" s="33" t="n"/>
      <c r="W6" s="33">
        <f>IF(AND(V6="Yes",I6="lbs"),ROUND(H6/50,0),"")</f>
        <v/>
      </c>
      <c r="X6" s="33" t="n"/>
      <c r="Y6" s="33" t="n"/>
      <c r="Z6" s="33" t="n"/>
      <c r="AA6" s="33" t="n"/>
      <c r="AB6" s="33" t="n"/>
      <c r="AC6" s="33" t="n"/>
      <c r="AD6" s="33" t="n"/>
      <c r="AE6" s="33" t="n"/>
    </row>
  </sheetData>
  <conditionalFormatting sqref="R2:R1000">
    <cfRule type="cellIs" priority="1" operator="equal" dxfId="0">
      <formula>"Certificate Overdue"</formula>
    </cfRule>
  </conditionalFormatting>
  <dataValidations count="9">
    <dataValidation sqref="E2:E1000" showDropDown="0" showInputMessage="0" showErrorMessage="0" allowBlank="1" errorTitle="Invalid" error="Select from dropdown" type="list">
      <formula1>=Lookups!$S$2:$S$15</formula1>
    </dataValidation>
    <dataValidation sqref="F2:F1000" showDropDown="0" showInputMessage="0" showErrorMessage="0" allowBlank="1" errorTitle="Invalid" error="Select from dropdown" type="list">
      <formula1>=Lookups!$P$2:$P$15</formula1>
    </dataValidation>
    <dataValidation sqref="G2:G1000" showDropDown="0" showInputMessage="0" showErrorMessage="0" allowBlank="1" errorTitle="Invalid" error="Select from dropdown" type="list">
      <formula1>=Lookups!$H$2:$H$12</formula1>
    </dataValidation>
    <dataValidation sqref="I2:I1000" showDropDown="0" showInputMessage="0" showErrorMessage="0" allowBlank="1" errorTitle="Invalid" error="Select from dropdown" type="list">
      <formula1>=Lookups!$I$2:$I$9</formula1>
    </dataValidation>
    <dataValidation sqref="M2:M1000" showDropDown="0" showInputMessage="0" showErrorMessage="0" allowBlank="1" errorTitle="Invalid" error="Select from dropdown" type="list">
      <formula1>=Lookups!$Q$2:$Q$3</formula1>
    </dataValidation>
    <dataValidation sqref="O2:O1000" showDropDown="0" showInputMessage="0" showErrorMessage="0" allowBlank="1" errorTitle="Invalid" error="Select from dropdown" type="list">
      <formula1>=Lookups!$Q$2:$Q$3</formula1>
    </dataValidation>
    <dataValidation sqref="R2:R1000" showDropDown="0" showInputMessage="0" showErrorMessage="0" allowBlank="1" errorTitle="Invalid" error="Select from dropdown" type="list">
      <formula1>=Lookups!$O$2:$O$8</formula1>
    </dataValidation>
    <dataValidation sqref="V2:V1000" showDropDown="0" showInputMessage="0" showErrorMessage="0" allowBlank="1" errorTitle="Invalid" error="Select from dropdown" type="list">
      <formula1>=Lookups!$Q$2:$Q$3</formula1>
    </dataValidation>
    <dataValidation sqref="X2:X1000" showDropDown="0" showInputMessage="0" showErrorMessage="0" allowBlank="1" errorTitle="Invalid" error="Select from dropdown" type="list">
      <formula1>=Lookups!$Q$2:$Q$3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  <col width="28" customWidth="1" min="6" max="6"/>
    <col width="10" customWidth="1" min="7" max="7"/>
    <col width="12" customWidth="1" min="8" max="8"/>
    <col width="16" customWidth="1" min="9" max="9"/>
    <col width="22" customWidth="1" min="10" max="10"/>
    <col width="14" customWidth="1" min="11" max="11"/>
    <col width="10" customWidth="1" min="12" max="12"/>
    <col width="16" customWidth="1" min="13" max="13"/>
    <col width="10" customWidth="1" min="14" max="14"/>
    <col width="16" customWidth="1" min="15" max="15"/>
    <col width="14" customWidth="1" min="16" max="16"/>
    <col width="10" customWidth="1" min="17" max="17"/>
    <col width="16" customWidth="1" min="18" max="18"/>
    <col width="28" customWidth="1" min="19" max="19"/>
    <col width="14" customWidth="1" min="20" max="20"/>
    <col width="12" customWidth="1" min="21" max="21"/>
  </cols>
  <sheetData>
    <row r="1">
      <c r="A1" s="32" t="inlineStr">
        <is>
          <t>SeizureID</t>
        </is>
      </c>
      <c r="B1" s="32" t="inlineStr">
        <is>
          <t>LinkedOpsID</t>
        </is>
      </c>
      <c r="C1" s="32" t="inlineStr">
        <is>
          <t>LinkedCaseID</t>
        </is>
      </c>
      <c r="D1" s="32" t="inlineStr">
        <is>
          <t>SeizureDate</t>
        </is>
      </c>
      <c r="E1" s="32" t="inlineStr">
        <is>
          <t>ItemType</t>
        </is>
      </c>
      <c r="F1" s="32" t="inlineStr">
        <is>
          <t>Description</t>
        </is>
      </c>
      <c r="G1" s="32" t="inlineStr">
        <is>
          <t>Quantity</t>
        </is>
      </c>
      <c r="H1" s="32" t="inlineStr">
        <is>
          <t>Calibre</t>
        </is>
      </c>
      <c r="I1" s="32" t="inlineStr">
        <is>
          <t>SerialNumber</t>
        </is>
      </c>
      <c r="J1" s="32" t="inlineStr">
        <is>
          <t>SeizureLocation</t>
        </is>
      </c>
      <c r="K1" s="32" t="inlineStr">
        <is>
          <t>Parish</t>
        </is>
      </c>
      <c r="L1" s="32" t="inlineStr">
        <is>
          <t>ForensicSubmitted</t>
        </is>
      </c>
      <c r="M1" s="32" t="inlineStr">
        <is>
          <t>ForensicStatus</t>
        </is>
      </c>
      <c r="N1" s="32" t="inlineStr">
        <is>
          <t>CourtReady</t>
        </is>
      </c>
      <c r="O1" s="32" t="inlineStr">
        <is>
          <t>DisposalStatus</t>
        </is>
      </c>
      <c r="P1" s="32" t="inlineStr">
        <is>
          <t>EstValue_JMD</t>
        </is>
      </c>
      <c r="Q1" s="32" t="inlineStr">
        <is>
          <t>POCARelevant</t>
        </is>
      </c>
      <c r="R1" s="32" t="inlineStr">
        <is>
          <t>SeizingOfficer</t>
        </is>
      </c>
      <c r="S1" s="32" t="inlineStr">
        <is>
          <t>Notes</t>
        </is>
      </c>
      <c r="T1" s="32" t="inlineStr">
        <is>
          <t>CreatedBy</t>
        </is>
      </c>
      <c r="U1" s="32" t="inlineStr">
        <is>
          <t>CreatedDate</t>
        </is>
      </c>
    </row>
    <row r="2">
      <c r="A2" s="33">
        <f>IF(D2="","","OS-"&amp;TEXT(ROW()-1,"0000"))</f>
        <v/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  <c r="Q2" s="33" t="n"/>
      <c r="R2" s="33" t="n"/>
      <c r="S2" s="33" t="n"/>
      <c r="T2" s="33" t="n"/>
      <c r="U2" s="33" t="n"/>
    </row>
    <row r="3">
      <c r="A3" s="33">
        <f>IF(D3="","","OS-"&amp;TEXT(ROW()-1,"0000"))</f>
        <v/>
      </c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  <c r="Q3" s="33" t="n"/>
      <c r="R3" s="33" t="n"/>
      <c r="S3" s="33" t="n"/>
      <c r="T3" s="33" t="n"/>
      <c r="U3" s="33" t="n"/>
    </row>
    <row r="4">
      <c r="A4" s="33">
        <f>IF(D4="","","OS-"&amp;TEXT(ROW()-1,"0000"))</f>
        <v/>
      </c>
      <c r="B4" s="33" t="n"/>
      <c r="C4" s="33" t="n"/>
      <c r="D4" s="33" t="n"/>
      <c r="E4" s="33" t="n"/>
      <c r="F4" s="33" t="n"/>
      <c r="G4" s="33" t="n"/>
      <c r="H4" s="33" t="n"/>
      <c r="I4" s="33" t="n"/>
      <c r="J4" s="33" t="n"/>
      <c r="K4" s="33" t="n"/>
      <c r="L4" s="33" t="n"/>
      <c r="M4" s="33" t="n"/>
      <c r="N4" s="33" t="n"/>
      <c r="O4" s="33" t="n"/>
      <c r="P4" s="33" t="n"/>
      <c r="Q4" s="33" t="n"/>
      <c r="R4" s="33" t="n"/>
      <c r="S4" s="33" t="n"/>
      <c r="T4" s="33" t="n"/>
      <c r="U4" s="33" t="n"/>
    </row>
    <row r="5">
      <c r="A5" s="33">
        <f>IF(D5="","","OS-"&amp;TEXT(ROW()-1,"0000"))</f>
        <v/>
      </c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33" t="n"/>
      <c r="T5" s="33" t="n"/>
      <c r="U5" s="33" t="n"/>
    </row>
    <row r="6">
      <c r="A6" s="33">
        <f>IF(D6="","","OS-"&amp;TEXT(ROW()-1,"0000"))</f>
        <v/>
      </c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  <c r="S6" s="33" t="n"/>
      <c r="T6" s="33" t="n"/>
      <c r="U6" s="33" t="n"/>
    </row>
  </sheetData>
  <dataValidations count="1">
    <dataValidation sqref="F2:F1000" showDropDown="0" showInputMessage="0" showErrorMessage="0" allowBlank="1" errorTitle="Invalid" error="Select from dropdown" type="list">
      <formula1>=Lookups!$P$2:$P$15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A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0" customWidth="1" min="5" max="5"/>
    <col width="22" customWidth="1" min="6" max="6"/>
    <col width="14" customWidth="1" min="7" max="7"/>
    <col width="22" customWidth="1" min="8" max="8"/>
    <col width="12" customWidth="1" min="9" max="9"/>
    <col width="8" customWidth="1" min="10" max="10"/>
    <col width="24" customWidth="1" min="11" max="11"/>
    <col width="16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30" customWidth="1" min="18" max="18"/>
    <col width="30" customWidth="1" min="19" max="19"/>
    <col width="28" customWidth="1" min="20" max="20"/>
    <col width="14" customWidth="1" min="21" max="21"/>
    <col width="14" customWidth="1" min="22" max="22"/>
    <col width="10" customWidth="1" min="23" max="23"/>
    <col width="36" customWidth="1" min="24" max="24"/>
    <col width="18" customWidth="1" min="25" max="25"/>
    <col width="14" customWidth="1" min="26" max="26"/>
    <col width="14" customWidth="1" min="27" max="27"/>
    <col width="24" customWidth="1" min="28" max="28"/>
    <col width="18" customWidth="1" min="29" max="29"/>
    <col width="10" customWidth="1" min="30" max="30"/>
    <col width="14" customWidth="1" min="31" max="31"/>
    <col width="14" customWidth="1" min="32" max="32"/>
    <col width="16" customWidth="1" min="33" max="33"/>
    <col width="28" customWidth="1" min="34" max="34"/>
    <col width="14" customWidth="1" min="35" max="35"/>
    <col width="12" customWidth="1" min="36" max="36"/>
  </cols>
  <sheetData>
    <row r="1">
      <c r="A1" s="32" t="inlineStr">
        <is>
          <t>ArrestID</t>
        </is>
      </c>
      <c r="B1" s="32" t="inlineStr">
        <is>
          <t>LinkedOpsID</t>
        </is>
      </c>
      <c r="C1" s="32" t="inlineStr">
        <is>
          <t>LinkedCaseID</t>
        </is>
      </c>
      <c r="D1" s="32" t="inlineStr">
        <is>
          <t>ArrestDate</t>
        </is>
      </c>
      <c r="E1" s="32" t="inlineStr">
        <is>
          <t>ArrestTime</t>
        </is>
      </c>
      <c r="F1" s="32" t="inlineStr">
        <is>
          <t>ArrestLocation</t>
        </is>
      </c>
      <c r="G1" s="32" t="inlineStr">
        <is>
          <t>Parish</t>
        </is>
      </c>
      <c r="H1" s="32" t="inlineStr">
        <is>
          <t>SuspectName</t>
        </is>
      </c>
      <c r="I1" s="32" t="inlineStr">
        <is>
          <t>DOB</t>
        </is>
      </c>
      <c r="J1" s="32" t="inlineStr">
        <is>
          <t>Gender</t>
        </is>
      </c>
      <c r="K1" s="32" t="inlineStr">
        <is>
          <t>Address</t>
        </is>
      </c>
      <c r="L1" s="32" t="inlineStr">
        <is>
          <t>NationalID_TRN</t>
        </is>
      </c>
      <c r="M1" s="32" t="inlineStr">
        <is>
          <t>PriorConvictions</t>
        </is>
      </c>
      <c r="N1" s="32" t="inlineStr">
        <is>
          <t>CautionAdministered</t>
        </is>
      </c>
      <c r="O1" s="32" t="inlineStr">
        <is>
          <t>CautionTime</t>
        </is>
      </c>
      <c r="P1" s="32" t="inlineStr">
        <is>
          <t>ChargeDate</t>
        </is>
      </c>
      <c r="Q1" s="32" t="inlineStr">
        <is>
          <t>ChargeTime</t>
        </is>
      </c>
      <c r="R1" s="32" t="inlineStr">
        <is>
          <t>PrimaryOffence</t>
        </is>
      </c>
      <c r="S1" s="32" t="inlineStr">
        <is>
          <t>SecondaryOffence</t>
        </is>
      </c>
      <c r="T1" s="32" t="inlineStr">
        <is>
          <t>ActSection</t>
        </is>
      </c>
      <c r="U1" s="32" t="inlineStr">
        <is>
          <t>48hr_Deadline</t>
        </is>
      </c>
      <c r="V1" s="32" t="inlineStr">
        <is>
          <t>FirstCourtAppearance</t>
        </is>
      </c>
      <c r="W1" s="32" t="inlineStr">
        <is>
          <t>48hr_Met</t>
        </is>
      </c>
      <c r="X1" s="32" t="inlineStr">
        <is>
          <t>CourtType</t>
        </is>
      </c>
      <c r="Y1" s="32" t="inlineStr">
        <is>
          <t>CourtLocation</t>
        </is>
      </c>
      <c r="Z1" s="32" t="inlineStr">
        <is>
          <t>BailStatus</t>
        </is>
      </c>
      <c r="AA1" s="32" t="inlineStr">
        <is>
          <t>BailAmount_JMD</t>
        </is>
      </c>
      <c r="AB1" s="32" t="inlineStr">
        <is>
          <t>BailConditions</t>
        </is>
      </c>
      <c r="AC1" s="32" t="inlineStr">
        <is>
          <t>RemandFacility</t>
        </is>
      </c>
      <c r="AD1" s="32" t="inlineStr">
        <is>
          <t>StopOrderIssued</t>
        </is>
      </c>
      <c r="AE1" s="32" t="inlineStr">
        <is>
          <t>POCAStatus</t>
        </is>
      </c>
      <c r="AF1" s="32" t="inlineStr">
        <is>
          <t>POCARef</t>
        </is>
      </c>
      <c r="AG1" s="32" t="inlineStr">
        <is>
          <t>ArrestingOfficer</t>
        </is>
      </c>
      <c r="AH1" s="32" t="inlineStr">
        <is>
          <t>Notes</t>
        </is>
      </c>
      <c r="AI1" s="32" t="inlineStr">
        <is>
          <t>CreatedBy</t>
        </is>
      </c>
      <c r="AJ1" s="32" t="inlineStr">
        <is>
          <t>CreatedDate</t>
        </is>
      </c>
    </row>
    <row r="2">
      <c r="A2" s="33">
        <f>IF(D2="","","ARR-"&amp;TEXT(ROW()-1,"0000"))</f>
        <v/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  <c r="Q2" s="33" t="n"/>
      <c r="R2" s="33" t="n"/>
      <c r="S2" s="33" t="n"/>
      <c r="T2" s="33" t="n"/>
      <c r="U2" s="34">
        <f>IF(D2="","",D2+2)</f>
        <v/>
      </c>
      <c r="V2" s="33" t="n"/>
      <c r="W2" s="33">
        <f>IF(OR(D2="",V2=""),"",IF(V2&lt;=U2,"Yes","BREACH"))</f>
        <v/>
      </c>
      <c r="X2" s="33" t="n"/>
      <c r="Y2" s="33" t="n"/>
      <c r="Z2" s="33" t="n"/>
      <c r="AA2" s="33" t="n"/>
      <c r="AB2" s="33" t="n"/>
      <c r="AC2" s="33" t="n"/>
      <c r="AD2" s="33" t="n"/>
      <c r="AE2" s="33" t="n"/>
      <c r="AF2" s="33" t="n"/>
      <c r="AG2" s="33" t="n"/>
      <c r="AH2" s="33" t="n"/>
      <c r="AI2" s="33" t="n"/>
      <c r="AJ2" s="33" t="n"/>
    </row>
    <row r="3">
      <c r="A3" s="33">
        <f>IF(D3="","","ARR-"&amp;TEXT(ROW()-1,"0000"))</f>
        <v/>
      </c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  <c r="Q3" s="33" t="n"/>
      <c r="R3" s="33" t="n"/>
      <c r="S3" s="33" t="n"/>
      <c r="T3" s="33" t="n"/>
      <c r="U3" s="34">
        <f>IF(D3="","",D3+2)</f>
        <v/>
      </c>
      <c r="V3" s="33" t="n"/>
      <c r="W3" s="33">
        <f>IF(OR(D3="",V3=""),"",IF(V3&lt;=U3,"Yes","BREACH"))</f>
        <v/>
      </c>
      <c r="X3" s="33" t="n"/>
      <c r="Y3" s="33" t="n"/>
      <c r="Z3" s="33" t="n"/>
      <c r="AA3" s="33" t="n"/>
      <c r="AB3" s="33" t="n"/>
      <c r="AC3" s="33" t="n"/>
      <c r="AD3" s="33" t="n"/>
      <c r="AE3" s="33" t="n"/>
      <c r="AF3" s="33" t="n"/>
      <c r="AG3" s="33" t="n"/>
      <c r="AH3" s="33" t="n"/>
      <c r="AI3" s="33" t="n"/>
      <c r="AJ3" s="33" t="n"/>
    </row>
    <row r="4">
      <c r="A4" s="33">
        <f>IF(D4="","","ARR-"&amp;TEXT(ROW()-1,"0000"))</f>
        <v/>
      </c>
      <c r="B4" s="33" t="n"/>
      <c r="C4" s="33" t="n"/>
      <c r="D4" s="33" t="n"/>
      <c r="E4" s="33" t="n"/>
      <c r="F4" s="33" t="n"/>
      <c r="G4" s="33" t="n"/>
      <c r="H4" s="33" t="n"/>
      <c r="I4" s="33" t="n"/>
      <c r="J4" s="33" t="n"/>
      <c r="K4" s="33" t="n"/>
      <c r="L4" s="33" t="n"/>
      <c r="M4" s="33" t="n"/>
      <c r="N4" s="33" t="n"/>
      <c r="O4" s="33" t="n"/>
      <c r="P4" s="33" t="n"/>
      <c r="Q4" s="33" t="n"/>
      <c r="R4" s="33" t="n"/>
      <c r="S4" s="33" t="n"/>
      <c r="T4" s="33" t="n"/>
      <c r="U4" s="34">
        <f>IF(D4="","",D4+2)</f>
        <v/>
      </c>
      <c r="V4" s="33" t="n"/>
      <c r="W4" s="33">
        <f>IF(OR(D4="",V4=""),"",IF(V4&lt;=U4,"Yes","BREACH"))</f>
        <v/>
      </c>
      <c r="X4" s="33" t="n"/>
      <c r="Y4" s="33" t="n"/>
      <c r="Z4" s="33" t="n"/>
      <c r="AA4" s="33" t="n"/>
      <c r="AB4" s="33" t="n"/>
      <c r="AC4" s="33" t="n"/>
      <c r="AD4" s="33" t="n"/>
      <c r="AE4" s="33" t="n"/>
      <c r="AF4" s="33" t="n"/>
      <c r="AG4" s="33" t="n"/>
      <c r="AH4" s="33" t="n"/>
      <c r="AI4" s="33" t="n"/>
      <c r="AJ4" s="33" t="n"/>
    </row>
    <row r="5">
      <c r="A5" s="33">
        <f>IF(D5="","","ARR-"&amp;TEXT(ROW()-1,"0000"))</f>
        <v/>
      </c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33" t="n"/>
      <c r="T5" s="33" t="n"/>
      <c r="U5" s="34">
        <f>IF(D5="","",D5+2)</f>
        <v/>
      </c>
      <c r="V5" s="33" t="n"/>
      <c r="W5" s="33">
        <f>IF(OR(D5="",V5=""),"",IF(V5&lt;=U5,"Yes","BREACH"))</f>
        <v/>
      </c>
      <c r="X5" s="33" t="n"/>
      <c r="Y5" s="33" t="n"/>
      <c r="Z5" s="33" t="n"/>
      <c r="AA5" s="33" t="n"/>
      <c r="AB5" s="33" t="n"/>
      <c r="AC5" s="33" t="n"/>
      <c r="AD5" s="33" t="n"/>
      <c r="AE5" s="33" t="n"/>
      <c r="AF5" s="33" t="n"/>
      <c r="AG5" s="33" t="n"/>
      <c r="AH5" s="33" t="n"/>
      <c r="AI5" s="33" t="n"/>
      <c r="AJ5" s="33" t="n"/>
    </row>
    <row r="6">
      <c r="A6" s="33">
        <f>IF(D6="","","ARR-"&amp;TEXT(ROW()-1,"0000"))</f>
        <v/>
      </c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  <c r="S6" s="33" t="n"/>
      <c r="T6" s="33" t="n"/>
      <c r="U6" s="34">
        <f>IF(D6="","",D6+2)</f>
        <v/>
      </c>
      <c r="V6" s="33" t="n"/>
      <c r="W6" s="33">
        <f>IF(OR(D6="",V6=""),"",IF(V6&lt;=U6,"Yes","BREACH"))</f>
        <v/>
      </c>
      <c r="X6" s="33" t="n"/>
      <c r="Y6" s="33" t="n"/>
      <c r="Z6" s="33" t="n"/>
      <c r="AA6" s="33" t="n"/>
      <c r="AB6" s="33" t="n"/>
      <c r="AC6" s="33" t="n"/>
      <c r="AD6" s="33" t="n"/>
      <c r="AE6" s="33" t="n"/>
      <c r="AF6" s="33" t="n"/>
      <c r="AG6" s="33" t="n"/>
      <c r="AH6" s="33" t="n"/>
      <c r="AI6" s="33" t="n"/>
      <c r="AJ6" s="33" t="n"/>
    </row>
  </sheetData>
  <conditionalFormatting sqref="W2:W1000">
    <cfRule type="cellIs" priority="1" operator="equal" dxfId="0">
      <formula>"BREACH"</formula>
    </cfRule>
    <cfRule type="cellIs" priority="2" operator="equal" dxfId="3">
      <formula>"Yes"</formula>
    </cfRule>
  </conditionalFormatting>
  <dataValidations count="5">
    <dataValidation sqref="G2:G1000" showDropDown="0" showInputMessage="0" showErrorMessage="0" allowBlank="1" errorTitle="Invalid" error="Select from dropdown" type="list">
      <formula1>=Lookups!$P$2:$P$15</formula1>
    </dataValidation>
    <dataValidation sqref="N2:N1000" showDropDown="0" showInputMessage="0" showErrorMessage="0" allowBlank="1" errorTitle="Invalid" error="Select from dropdown" type="list">
      <formula1>=Lookups!$Q$2:$Q$3</formula1>
    </dataValidation>
    <dataValidation sqref="X2:X1000" showDropDown="0" showInputMessage="0" showErrorMessage="0" allowBlank="1" errorTitle="Invalid" error="Select from dropdown" type="list">
      <formula1>=Lookups!$L$2:$L$7</formula1>
    </dataValidation>
    <dataValidation sqref="Z2:Z1000" showDropDown="0" showInputMessage="0" showErrorMessage="0" allowBlank="1" errorTitle="Invalid" error="Select from dropdown" type="list">
      <formula1>=Lookups!$M$2:$M$8</formula1>
    </dataValidation>
    <dataValidation sqref="AE2:AE1000" showDropDown="0" showInputMessage="0" showErrorMessage="0" allowBlank="1" errorTitle="Invalid" error="Select from dropdown" type="list">
      <formula1>=Lookups!$W$2:$W$9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2E75B6"/>
    <outlinePr summaryBelow="1" summaryRight="1"/>
    <pageSetUpPr/>
  </sheetPr>
  <dimension ref="A1:A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22" customWidth="1" min="4" max="4"/>
    <col width="10" customWidth="1" min="5" max="5"/>
    <col width="28" customWidth="1" min="6" max="6"/>
    <col width="28" customWidth="1" min="7" max="7"/>
    <col width="30" customWidth="1" min="8" max="8"/>
    <col width="2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8" customWidth="1" min="16" max="16"/>
    <col width="14" customWidth="1" min="17" max="17"/>
    <col width="18" customWidth="1" min="18" max="18"/>
    <col width="12" customWidth="1" min="19" max="19"/>
    <col width="14" customWidth="1" min="20" max="20"/>
    <col width="16" customWidth="1" min="21" max="21"/>
    <col width="22" customWidth="1" min="22" max="22"/>
    <col width="22" customWidth="1" min="23" max="23"/>
    <col width="18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12" customWidth="1" min="35" max="35"/>
    <col width="28" customWidth="1" min="36" max="36"/>
    <col width="14" customWidth="1" min="37" max="37"/>
    <col width="12" customWidth="1" min="38" max="38"/>
    <col width="16" customWidth="1" min="39" max="39"/>
    <col width="28" customWidth="1" min="40" max="40"/>
    <col width="10" customWidth="1" min="41" max="41"/>
    <col width="18" customWidth="1" min="42" max="42"/>
    <col width="24" customWidth="1" min="43" max="43"/>
    <col width="12" customWidth="1" min="44" max="44"/>
    <col width="16" customWidth="1" min="45" max="45"/>
    <col width="12" customWidth="1" min="46" max="46"/>
    <col width="30" customWidth="1" min="47" max="47"/>
    <col width="10" customWidth="1" min="48" max="48"/>
    <col width="28" customWidth="1" min="49" max="49"/>
    <col width="14" customWidth="1" min="50" max="50"/>
    <col width="12" customWidth="1" min="51" max="51"/>
  </cols>
  <sheetData>
    <row r="1">
      <c r="A1" s="32" t="inlineStr">
        <is>
          <t>CaseRegID</t>
        </is>
      </c>
      <c r="B1" s="32" t="inlineStr">
        <is>
          <t>CaseFileNumber</t>
        </is>
      </c>
      <c r="C1" s="32" t="inlineStr">
        <is>
          <t>DateOpened</t>
        </is>
      </c>
      <c r="D1" s="32" t="inlineStr">
        <is>
          <t>CaseClassification</t>
        </is>
      </c>
      <c r="E1" s="32" t="inlineStr">
        <is>
          <t>CasePriority</t>
        </is>
      </c>
      <c r="F1" s="32" t="inlineStr">
        <is>
          <t>CaseStatus</t>
        </is>
      </c>
      <c r="G1" s="32" t="inlineStr">
        <is>
          <t>InvestigationType</t>
        </is>
      </c>
      <c r="H1" s="32" t="inlineStr">
        <is>
          <t>PrimaryOffence</t>
        </is>
      </c>
      <c r="I1" s="32" t="inlineStr">
        <is>
          <t>ActSection</t>
        </is>
      </c>
      <c r="J1" s="32" t="inlineStr">
        <is>
          <t>LinkedIntelIDs</t>
        </is>
      </c>
      <c r="K1" s="32" t="inlineStr">
        <is>
          <t>LinkedOpsIDs</t>
        </is>
      </c>
      <c r="L1" s="32" t="inlineStr">
        <is>
          <t>LinkedArrestIDs</t>
        </is>
      </c>
      <c r="M1" s="32" t="inlineStr">
        <is>
          <t>LinkedFirearmSeizureIDs</t>
        </is>
      </c>
      <c r="N1" s="32" t="inlineStr">
        <is>
          <t>LinkedNarcoticSeizureIDs</t>
        </is>
      </c>
      <c r="O1" s="32" t="inlineStr">
        <is>
          <t>LinkedDPPCaseFileID</t>
        </is>
      </c>
      <c r="P1" s="32" t="inlineStr">
        <is>
          <t>InvestigatingOfficer</t>
        </is>
      </c>
      <c r="Q1" s="32" t="inlineStr">
        <is>
          <t>InvestigatingOfficerRank</t>
        </is>
      </c>
      <c r="R1" s="32" t="inlineStr">
        <is>
          <t>Supervisor</t>
        </is>
      </c>
      <c r="S1" s="32" t="inlineStr">
        <is>
          <t>DateAssigned</t>
        </is>
      </c>
      <c r="T1" s="32" t="inlineStr">
        <is>
          <t>Parish</t>
        </is>
      </c>
      <c r="U1" s="32" t="inlineStr">
        <is>
          <t>Division</t>
        </is>
      </c>
      <c r="V1" s="32" t="inlineStr">
        <is>
          <t>TargetPerson</t>
        </is>
      </c>
      <c r="W1" s="32" t="inlineStr">
        <is>
          <t>TargetOrganisation</t>
        </is>
      </c>
      <c r="X1" s="32" t="inlineStr">
        <is>
          <t>GangAffiliation</t>
        </is>
      </c>
      <c r="Y1" s="32" t="inlineStr">
        <is>
          <t>SceneExamComplete</t>
        </is>
      </c>
      <c r="Z1" s="32" t="inlineStr">
        <is>
          <t>WitnessStatementsTaken</t>
        </is>
      </c>
      <c r="AA1" s="32" t="inlineStr">
        <is>
          <t>ForensicEvidenceSubmitted</t>
        </is>
      </c>
      <c r="AB1" s="32" t="inlineStr">
        <is>
          <t>ForensicResultsReceived</t>
        </is>
      </c>
      <c r="AC1" s="32" t="inlineStr">
        <is>
          <t>SurveillanceConducted</t>
        </is>
      </c>
      <c r="AD1" s="32" t="inlineStr">
        <is>
          <t>PhoneRecordsObtained</t>
        </is>
      </c>
      <c r="AE1" s="32" t="inlineStr">
        <is>
          <t>FinancialRecordsObtained</t>
        </is>
      </c>
      <c r="AF1" s="32" t="inlineStr">
        <is>
          <t>CCTVFootageObtained</t>
        </is>
      </c>
      <c r="AG1" s="32" t="inlineStr">
        <is>
          <t>DigitalForensicsComplete</t>
        </is>
      </c>
      <c r="AH1" s="32" t="inlineStr">
        <is>
          <t>InvestigationProgress</t>
        </is>
      </c>
      <c r="AI1" s="32" t="inlineStr">
        <is>
          <t>LastActivityDate</t>
        </is>
      </c>
      <c r="AJ1" s="32" t="inlineStr">
        <is>
          <t>NextActionRequired</t>
        </is>
      </c>
      <c r="AK1" s="32" t="inlineStr">
        <is>
          <t>NextActionDeadline</t>
        </is>
      </c>
      <c r="AL1" s="32" t="inlineStr">
        <is>
          <t>LastReviewDate</t>
        </is>
      </c>
      <c r="AM1" s="32" t="inlineStr">
        <is>
          <t>ReviewedBy</t>
        </is>
      </c>
      <c r="AN1" s="32" t="inlineStr">
        <is>
          <t>ReviewNotes</t>
        </is>
      </c>
      <c r="AO1" s="32" t="inlineStr">
        <is>
          <t>Escalated</t>
        </is>
      </c>
      <c r="AP1" s="32" t="inlineStr">
        <is>
          <t>EscalatedTo</t>
        </is>
      </c>
      <c r="AQ1" s="32" t="inlineStr">
        <is>
          <t>EscalationReason</t>
        </is>
      </c>
      <c r="AR1" s="32" t="inlineStr">
        <is>
          <t>ColdCaseReviewDate</t>
        </is>
      </c>
      <c r="AS1" s="32" t="inlineStr">
        <is>
          <t>ColdCaseReviewedBy</t>
        </is>
      </c>
      <c r="AT1" s="32" t="inlineStr">
        <is>
          <t>ResolutionDate</t>
        </is>
      </c>
      <c r="AU1" s="32" t="inlineStr">
        <is>
          <t>ResolutionSummary</t>
        </is>
      </c>
      <c r="AV1" s="32" t="inlineStr">
        <is>
          <t>DaysOpen</t>
        </is>
      </c>
      <c r="AW1" s="32" t="inlineStr">
        <is>
          <t>Notes</t>
        </is>
      </c>
      <c r="AX1" s="32" t="inlineStr">
        <is>
          <t>CreatedBy</t>
        </is>
      </c>
      <c r="AY1" s="32" t="inlineStr">
        <is>
          <t>CreatedDate</t>
        </is>
      </c>
    </row>
    <row r="2">
      <c r="A2" s="33">
        <f>IF(C2="","","CR-"&amp;TEXT(ROW()-1,"0000"))</f>
        <v/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  <c r="Q2" s="33" t="n"/>
      <c r="R2" s="33" t="n"/>
      <c r="S2" s="33" t="n"/>
      <c r="T2" s="33" t="n"/>
      <c r="U2" s="33" t="n"/>
      <c r="V2" s="33" t="n"/>
      <c r="W2" s="33" t="n"/>
      <c r="X2" s="33" t="n"/>
      <c r="Y2" s="33" t="n"/>
      <c r="Z2" s="33" t="n"/>
      <c r="AA2" s="33" t="n"/>
      <c r="AB2" s="33" t="n"/>
      <c r="AC2" s="33" t="n"/>
      <c r="AD2" s="33" t="n"/>
      <c r="AE2" s="33" t="n"/>
      <c r="AF2" s="33" t="n"/>
      <c r="AG2" s="33" t="n"/>
      <c r="AH2" s="35">
        <f>IF(C2="","",((Z2="Yes")+(AA2="Yes")+(AB2="Yes")+(AC2="Yes")+(AD2="Yes")+(AE2="Yes")+(AF2="Yes")+(AG2="Yes")+(AH2="Yes"))/9)</f>
        <v/>
      </c>
      <c r="AI2" s="33" t="n"/>
      <c r="AJ2" s="33" t="n"/>
      <c r="AK2" s="33" t="n"/>
      <c r="AL2" s="33" t="n"/>
      <c r="AM2" s="33" t="n"/>
      <c r="AN2" s="33" t="n"/>
      <c r="AO2" s="33" t="n"/>
      <c r="AP2" s="33" t="n"/>
      <c r="AQ2" s="33" t="n"/>
      <c r="AR2" s="33" t="n"/>
      <c r="AS2" s="33" t="n"/>
      <c r="AT2" s="33" t="n"/>
      <c r="AU2" s="33" t="n"/>
      <c r="AV2" s="33">
        <f>IF(C2="","",IF(ISBLANK(AR2),TODAY()-C2,AR2-C2))</f>
        <v/>
      </c>
      <c r="AW2" s="33" t="n"/>
      <c r="AX2" s="33" t="n"/>
      <c r="AY2" s="33" t="n"/>
    </row>
    <row r="3">
      <c r="A3" s="33">
        <f>IF(C3="","","CR-"&amp;TEXT(ROW()-1,"0000"))</f>
        <v/>
      </c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  <c r="Q3" s="33" t="n"/>
      <c r="R3" s="33" t="n"/>
      <c r="S3" s="33" t="n"/>
      <c r="T3" s="33" t="n"/>
      <c r="U3" s="33" t="n"/>
      <c r="V3" s="33" t="n"/>
      <c r="W3" s="33" t="n"/>
      <c r="X3" s="33" t="n"/>
      <c r="Y3" s="33" t="n"/>
      <c r="Z3" s="33" t="n"/>
      <c r="AA3" s="33" t="n"/>
      <c r="AB3" s="33" t="n"/>
      <c r="AC3" s="33" t="n"/>
      <c r="AD3" s="33" t="n"/>
      <c r="AE3" s="33" t="n"/>
      <c r="AF3" s="33" t="n"/>
      <c r="AG3" s="33" t="n"/>
      <c r="AH3" s="35">
        <f>IF(C3="","",((Z3="Yes")+(AA3="Yes")+(AB3="Yes")+(AC3="Yes")+(AD3="Yes")+(AE3="Yes")+(AF3="Yes")+(AG3="Yes")+(AH3="Yes"))/9)</f>
        <v/>
      </c>
      <c r="AI3" s="33" t="n"/>
      <c r="AJ3" s="33" t="n"/>
      <c r="AK3" s="33" t="n"/>
      <c r="AL3" s="33" t="n"/>
      <c r="AM3" s="33" t="n"/>
      <c r="AN3" s="33" t="n"/>
      <c r="AO3" s="33" t="n"/>
      <c r="AP3" s="33" t="n"/>
      <c r="AQ3" s="33" t="n"/>
      <c r="AR3" s="33" t="n"/>
      <c r="AS3" s="33" t="n"/>
      <c r="AT3" s="33" t="n"/>
      <c r="AU3" s="33" t="n"/>
      <c r="AV3" s="33">
        <f>IF(C3="","",IF(ISBLANK(AR3),TODAY()-C3,AR3-C3))</f>
        <v/>
      </c>
      <c r="AW3" s="33" t="n"/>
      <c r="AX3" s="33" t="n"/>
      <c r="AY3" s="33" t="n"/>
    </row>
    <row r="4">
      <c r="A4" s="33">
        <f>IF(C4="","","CR-"&amp;TEXT(ROW()-1,"0000"))</f>
        <v/>
      </c>
      <c r="B4" s="33" t="n"/>
      <c r="C4" s="33" t="n"/>
      <c r="D4" s="33" t="n"/>
      <c r="E4" s="33" t="n"/>
      <c r="F4" s="33" t="n"/>
      <c r="G4" s="33" t="n"/>
      <c r="H4" s="33" t="n"/>
      <c r="I4" s="33" t="n"/>
      <c r="J4" s="33" t="n"/>
      <c r="K4" s="33" t="n"/>
      <c r="L4" s="33" t="n"/>
      <c r="M4" s="33" t="n"/>
      <c r="N4" s="33" t="n"/>
      <c r="O4" s="33" t="n"/>
      <c r="P4" s="33" t="n"/>
      <c r="Q4" s="33" t="n"/>
      <c r="R4" s="33" t="n"/>
      <c r="S4" s="33" t="n"/>
      <c r="T4" s="33" t="n"/>
      <c r="U4" s="33" t="n"/>
      <c r="V4" s="33" t="n"/>
      <c r="W4" s="33" t="n"/>
      <c r="X4" s="33" t="n"/>
      <c r="Y4" s="33" t="n"/>
      <c r="Z4" s="33" t="n"/>
      <c r="AA4" s="33" t="n"/>
      <c r="AB4" s="33" t="n"/>
      <c r="AC4" s="33" t="n"/>
      <c r="AD4" s="33" t="n"/>
      <c r="AE4" s="33" t="n"/>
      <c r="AF4" s="33" t="n"/>
      <c r="AG4" s="33" t="n"/>
      <c r="AH4" s="35">
        <f>IF(C4="","",((Z4="Yes")+(AA4="Yes")+(AB4="Yes")+(AC4="Yes")+(AD4="Yes")+(AE4="Yes")+(AF4="Yes")+(AG4="Yes")+(AH4="Yes"))/9)</f>
        <v/>
      </c>
      <c r="AI4" s="33" t="n"/>
      <c r="AJ4" s="33" t="n"/>
      <c r="AK4" s="33" t="n"/>
      <c r="AL4" s="33" t="n"/>
      <c r="AM4" s="33" t="n"/>
      <c r="AN4" s="33" t="n"/>
      <c r="AO4" s="33" t="n"/>
      <c r="AP4" s="33" t="n"/>
      <c r="AQ4" s="33" t="n"/>
      <c r="AR4" s="33" t="n"/>
      <c r="AS4" s="33" t="n"/>
      <c r="AT4" s="33" t="n"/>
      <c r="AU4" s="33" t="n"/>
      <c r="AV4" s="33">
        <f>IF(C4="","",IF(ISBLANK(AR4),TODAY()-C4,AR4-C4))</f>
        <v/>
      </c>
      <c r="AW4" s="33" t="n"/>
      <c r="AX4" s="33" t="n"/>
      <c r="AY4" s="33" t="n"/>
    </row>
    <row r="5">
      <c r="A5" s="33">
        <f>IF(C5="","","CR-"&amp;TEXT(ROW()-1,"0000"))</f>
        <v/>
      </c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33" t="n"/>
      <c r="T5" s="33" t="n"/>
      <c r="U5" s="33" t="n"/>
      <c r="V5" s="33" t="n"/>
      <c r="W5" s="33" t="n"/>
      <c r="X5" s="33" t="n"/>
      <c r="Y5" s="33" t="n"/>
      <c r="Z5" s="33" t="n"/>
      <c r="AA5" s="33" t="n"/>
      <c r="AB5" s="33" t="n"/>
      <c r="AC5" s="33" t="n"/>
      <c r="AD5" s="33" t="n"/>
      <c r="AE5" s="33" t="n"/>
      <c r="AF5" s="33" t="n"/>
      <c r="AG5" s="33" t="n"/>
      <c r="AH5" s="35">
        <f>IF(C5="","",((Z5="Yes")+(AA5="Yes")+(AB5="Yes")+(AC5="Yes")+(AD5="Yes")+(AE5="Yes")+(AF5="Yes")+(AG5="Yes")+(AH5="Yes"))/9)</f>
        <v/>
      </c>
      <c r="AI5" s="33" t="n"/>
      <c r="AJ5" s="33" t="n"/>
      <c r="AK5" s="33" t="n"/>
      <c r="AL5" s="33" t="n"/>
      <c r="AM5" s="33" t="n"/>
      <c r="AN5" s="33" t="n"/>
      <c r="AO5" s="33" t="n"/>
      <c r="AP5" s="33" t="n"/>
      <c r="AQ5" s="33" t="n"/>
      <c r="AR5" s="33" t="n"/>
      <c r="AS5" s="33" t="n"/>
      <c r="AT5" s="33" t="n"/>
      <c r="AU5" s="33" t="n"/>
      <c r="AV5" s="33">
        <f>IF(C5="","",IF(ISBLANK(AR5),TODAY()-C5,AR5-C5))</f>
        <v/>
      </c>
      <c r="AW5" s="33" t="n"/>
      <c r="AX5" s="33" t="n"/>
      <c r="AY5" s="33" t="n"/>
    </row>
    <row r="6">
      <c r="A6" s="33">
        <f>IF(C6="","","CR-"&amp;TEXT(ROW()-1,"0000"))</f>
        <v/>
      </c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  <c r="S6" s="33" t="n"/>
      <c r="T6" s="33" t="n"/>
      <c r="U6" s="33" t="n"/>
      <c r="V6" s="33" t="n"/>
      <c r="W6" s="33" t="n"/>
      <c r="X6" s="33" t="n"/>
      <c r="Y6" s="33" t="n"/>
      <c r="Z6" s="33" t="n"/>
      <c r="AA6" s="33" t="n"/>
      <c r="AB6" s="33" t="n"/>
      <c r="AC6" s="33" t="n"/>
      <c r="AD6" s="33" t="n"/>
      <c r="AE6" s="33" t="n"/>
      <c r="AF6" s="33" t="n"/>
      <c r="AG6" s="33" t="n"/>
      <c r="AH6" s="35">
        <f>IF(C6="","",((Z6="Yes")+(AA6="Yes")+(AB6="Yes")+(AC6="Yes")+(AD6="Yes")+(AE6="Yes")+(AF6="Yes")+(AG6="Yes")+(AH6="Yes"))/9)</f>
        <v/>
      </c>
      <c r="AI6" s="33" t="n"/>
      <c r="AJ6" s="33" t="n"/>
      <c r="AK6" s="33" t="n"/>
      <c r="AL6" s="33" t="n"/>
      <c r="AM6" s="33" t="n"/>
      <c r="AN6" s="33" t="n"/>
      <c r="AO6" s="33" t="n"/>
      <c r="AP6" s="33" t="n"/>
      <c r="AQ6" s="33" t="n"/>
      <c r="AR6" s="33" t="n"/>
      <c r="AS6" s="33" t="n"/>
      <c r="AT6" s="33" t="n"/>
      <c r="AU6" s="33" t="n"/>
      <c r="AV6" s="33">
        <f>IF(C6="","",IF(ISBLANK(AR6),TODAY()-C6,AR6-C6))</f>
        <v/>
      </c>
      <c r="AW6" s="33" t="n"/>
      <c r="AX6" s="33" t="n"/>
      <c r="AY6" s="33" t="n"/>
    </row>
  </sheetData>
  <conditionalFormatting sqref="F2:F1000">
    <cfRule type="cellIs" priority="1" operator="beginsWith" dxfId="1">
      <formula>"Open"</formula>
    </cfRule>
    <cfRule type="cellIs" priority="2" operator="beginsWith" dxfId="0">
      <formula>"Cold Case"</formula>
    </cfRule>
    <cfRule type="cellIs" priority="3" operator="beginsWith" dxfId="3">
      <formula>"Closed - Convicted"</formula>
    </cfRule>
  </conditionalFormatting>
  <conditionalFormatting sqref="E2:E1000">
    <cfRule type="cellIs" priority="4" operator="equal" dxfId="0">
      <formula>"Critical"</formula>
    </cfRule>
    <cfRule type="cellIs" priority="5" operator="equal" dxfId="1">
      <formula>"High"</formula>
    </cfRule>
  </conditionalFormatting>
  <conditionalFormatting sqref="AH2:AH1000">
    <cfRule type="cellIs" priority="6" operator="lessThan" dxfId="0">
      <formula>0.33</formula>
    </cfRule>
    <cfRule type="cellIs" priority="7" operator="between" dxfId="1">
      <formula>0.33</formula>
      <formula>0.66</formula>
    </cfRule>
    <cfRule type="cellIs" priority="8" operator="greaterThanOrEqual" dxfId="3">
      <formula>0.66</formula>
    </cfRule>
  </conditionalFormatting>
  <conditionalFormatting sqref="AL2:AL1000">
    <cfRule type="cellIs" priority="9" operator="equal" dxfId="0">
      <formula>"Yes"</formula>
    </cfRule>
  </conditionalFormatting>
  <conditionalFormatting sqref="AK2:AK1000">
    <cfRule type="expression" priority="10" dxfId="0">
      <formula>=AND(AK2&lt;&gt;"",AK2&lt;TODAY())</formula>
    </cfRule>
  </conditionalFormatting>
  <dataValidations count="15">
    <dataValidation sqref="D2:D1000" showDropDown="0" showInputMessage="0" showErrorMessage="0" allowBlank="1" errorTitle="Invalid" error="Select from dropdown" type="list">
      <formula1>=Lookups!$X$2:$X$10</formula1>
    </dataValidation>
    <dataValidation sqref="E2:E1000" showDropDown="0" showInputMessage="0" showErrorMessage="0" allowBlank="1" errorTitle="Invalid" error="Select from dropdown" type="list">
      <formula1>=Lookups!$B$2:$B$5</formula1>
    </dataValidation>
    <dataValidation sqref="F2:F1000" showDropDown="0" showInputMessage="0" showErrorMessage="0" allowBlank="1" errorTitle="Invalid" error="Select from dropdown" type="list">
      <formula1>=Lookups!$Y$2:$Y$14</formula1>
    </dataValidation>
    <dataValidation sqref="G2:G1000" showDropDown="0" showInputMessage="0" showErrorMessage="0" allowBlank="1" errorTitle="Invalid" error="Select from dropdown" type="list">
      <formula1>=Lookups!$Z$2:$Z$15</formula1>
    </dataValidation>
    <dataValidation sqref="T2:T1000" showDropDown="0" showInputMessage="0" showErrorMessage="0" allowBlank="1" errorTitle="Invalid" error="Select from dropdown" type="list">
      <formula1>=Lookups!$P$2:$P$15</formula1>
    </dataValidation>
    <dataValidation sqref="Z2:Z1000" showDropDown="0" showInputMessage="0" showErrorMessage="0" allowBlank="1" errorTitle="Invalid" error="Select from dropdown" type="list">
      <formula1>=Lookups!$Q$2:$Q$3</formula1>
    </dataValidation>
    <dataValidation sqref="AA2:AA1000" showDropDown="0" showInputMessage="0" showErrorMessage="0" allowBlank="1" errorTitle="Invalid" error="Select from dropdown" type="list">
      <formula1>=Lookups!$Q$2:$Q$3</formula1>
    </dataValidation>
    <dataValidation sqref="AB2:AB1000" showDropDown="0" showInputMessage="0" showErrorMessage="0" allowBlank="1" errorTitle="Invalid" error="Select from dropdown" type="list">
      <formula1>=Lookups!$Q$2:$Q$3</formula1>
    </dataValidation>
    <dataValidation sqref="AC2:AC1000" showDropDown="0" showInputMessage="0" showErrorMessage="0" allowBlank="1" errorTitle="Invalid" error="Select from dropdown" type="list">
      <formula1>=Lookups!$Q$2:$Q$3</formula1>
    </dataValidation>
    <dataValidation sqref="AD2:AD1000" showDropDown="0" showInputMessage="0" showErrorMessage="0" allowBlank="1" errorTitle="Invalid" error="Select from dropdown" type="list">
      <formula1>=Lookups!$Q$2:$Q$3</formula1>
    </dataValidation>
    <dataValidation sqref="AE2:AE1000" showDropDown="0" showInputMessage="0" showErrorMessage="0" allowBlank="1" errorTitle="Invalid" error="Select from dropdown" type="list">
      <formula1>=Lookups!$Q$2:$Q$3</formula1>
    </dataValidation>
    <dataValidation sqref="AF2:AF1000" showDropDown="0" showInputMessage="0" showErrorMessage="0" allowBlank="1" errorTitle="Invalid" error="Select from dropdown" type="list">
      <formula1>=Lookups!$Q$2:$Q$3</formula1>
    </dataValidation>
    <dataValidation sqref="AG2:AG1000" showDropDown="0" showInputMessage="0" showErrorMessage="0" allowBlank="1" errorTitle="Invalid" error="Select from dropdown" type="list">
      <formula1>=Lookups!$Q$2:$Q$3</formula1>
    </dataValidation>
    <dataValidation sqref="AH2:AH1000" showDropDown="0" showInputMessage="0" showErrorMessage="0" allowBlank="1" errorTitle="Invalid" error="Select from dropdown" type="list">
      <formula1>=Lookups!$Q$2:$Q$3</formula1>
    </dataValidation>
    <dataValidation sqref="AL2:AL1000" showDropDown="0" showInputMessage="0" showErrorMessage="0" allowBlank="1" errorTitle="Invalid" error="Select from dropdown" type="list">
      <formula1>=Lookups!$Q$2:$Q$3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538135"/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28" customWidth="1" min="4" max="4"/>
    <col width="12" customWidth="1" min="5" max="5"/>
    <col width="12" customWidth="1" min="6" max="6"/>
    <col width="10" customWidth="1" min="7" max="7"/>
    <col width="18" customWidth="1" min="8" max="8"/>
    <col width="14" customWidth="1" min="9" max="9"/>
    <col width="18" customWidth="1" min="10" max="10"/>
    <col width="14" customWidth="1" min="11" max="11"/>
    <col width="22" customWidth="1" min="12" max="12"/>
    <col width="22" customWidth="1" min="13" max="13"/>
    <col width="22" customWidth="1" min="14" max="14"/>
    <col width="10" customWidth="1" min="15" max="15"/>
    <col width="20" customWidth="1" min="16" max="16"/>
    <col width="10" customWidth="1" min="17" max="17"/>
    <col width="28" customWidth="1" min="18" max="18"/>
    <col width="12" customWidth="1" min="19" max="19"/>
  </cols>
  <sheetData>
    <row r="1">
      <c r="A1" s="32" t="inlineStr">
        <is>
          <t>TransferID</t>
        </is>
      </c>
      <c r="B1" s="32" t="inlineStr">
        <is>
          <t>ExhibitRef</t>
        </is>
      </c>
      <c r="C1" s="32" t="inlineStr">
        <is>
          <t>ExhibitType</t>
        </is>
      </c>
      <c r="D1" s="32" t="inlineStr">
        <is>
          <t>ExhibitDescription</t>
        </is>
      </c>
      <c r="E1" s="32" t="inlineStr">
        <is>
          <t>LinkedCaseID</t>
        </is>
      </c>
      <c r="F1" s="32" t="inlineStr">
        <is>
          <t>TransferDate</t>
        </is>
      </c>
      <c r="G1" s="32" t="inlineStr">
        <is>
          <t>TransferTime</t>
        </is>
      </c>
      <c r="H1" s="32" t="inlineStr">
        <is>
          <t>ReleasedBy</t>
        </is>
      </c>
      <c r="I1" s="32" t="inlineStr">
        <is>
          <t>ReleasedByRank</t>
        </is>
      </c>
      <c r="J1" s="32" t="inlineStr">
        <is>
          <t>ReceivedBy</t>
        </is>
      </c>
      <c r="K1" s="32" t="inlineStr">
        <is>
          <t>ReceivedByRank</t>
        </is>
      </c>
      <c r="L1" s="32" t="inlineStr">
        <is>
          <t>Location_From</t>
        </is>
      </c>
      <c r="M1" s="32" t="inlineStr">
        <is>
          <t>Location_To</t>
        </is>
      </c>
      <c r="N1" s="32" t="inlineStr">
        <is>
          <t>Reason</t>
        </is>
      </c>
      <c r="O1" s="32" t="inlineStr">
        <is>
          <t>ForensicRecoveryBag</t>
        </is>
      </c>
      <c r="P1" s="32" t="inlineStr">
        <is>
          <t>ConditionOnTransfer</t>
        </is>
      </c>
      <c r="Q1" s="32" t="inlineStr">
        <is>
          <t>SignedReceiptObtained</t>
        </is>
      </c>
      <c r="R1" s="32" t="inlineStr">
        <is>
          <t>Notes</t>
        </is>
      </c>
      <c r="S1" s="32" t="inlineStr">
        <is>
          <t>CreatedDate</t>
        </is>
      </c>
    </row>
    <row r="2">
      <c r="A2" s="33">
        <f>IF(F2="","","COC-"&amp;TEXT(ROW()-1,"0000"))</f>
        <v/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  <c r="Q2" s="33" t="n"/>
      <c r="R2" s="33" t="n"/>
      <c r="S2" s="33" t="n"/>
    </row>
    <row r="3">
      <c r="A3" s="33">
        <f>IF(F3="","","COC-"&amp;TEXT(ROW()-1,"0000"))</f>
        <v/>
      </c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  <c r="Q3" s="33" t="n"/>
      <c r="R3" s="33" t="n"/>
      <c r="S3" s="33" t="n"/>
    </row>
    <row r="4">
      <c r="A4" s="33">
        <f>IF(F4="","","COC-"&amp;TEXT(ROW()-1,"0000"))</f>
        <v/>
      </c>
      <c r="B4" s="33" t="n"/>
      <c r="C4" s="33" t="n"/>
      <c r="D4" s="33" t="n"/>
      <c r="E4" s="33" t="n"/>
      <c r="F4" s="33" t="n"/>
      <c r="G4" s="33" t="n"/>
      <c r="H4" s="33" t="n"/>
      <c r="I4" s="33" t="n"/>
      <c r="J4" s="33" t="n"/>
      <c r="K4" s="33" t="n"/>
      <c r="L4" s="33" t="n"/>
      <c r="M4" s="33" t="n"/>
      <c r="N4" s="33" t="n"/>
      <c r="O4" s="33" t="n"/>
      <c r="P4" s="33" t="n"/>
      <c r="Q4" s="33" t="n"/>
      <c r="R4" s="33" t="n"/>
      <c r="S4" s="33" t="n"/>
    </row>
    <row r="5">
      <c r="A5" s="33">
        <f>IF(F5="","","COC-"&amp;TEXT(ROW()-1,"0000"))</f>
        <v/>
      </c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33" t="n"/>
    </row>
    <row r="6">
      <c r="A6" s="33">
        <f>IF(F6="","","COC-"&amp;TEXT(ROW()-1,"0000"))</f>
        <v/>
      </c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  <c r="S6" s="33" t="n"/>
    </row>
  </sheetData>
  <dataValidations count="2">
    <dataValidation sqref="O2:O1000" showDropDown="0" showInputMessage="0" showErrorMessage="0" allowBlank="1" errorTitle="Invalid" error="Select from dropdown" type="list">
      <formula1>=Lookups!$Q$2:$Q$3</formula1>
    </dataValidation>
    <dataValidation sqref="Q2:Q1000" showDropDown="0" showInputMessage="0" showErrorMessage="0" allowBlank="1" errorTitle="Invalid" error="Select from dropdown" type="list">
      <formula1>=Lookups!$Q$2:$Q$3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7030A0"/>
    <outlinePr summaryBelow="1" summaryRight="1"/>
    <pageSetUpPr/>
  </sheetPr>
  <dimension ref="A1:A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30" customWidth="1" min="4" max="4"/>
    <col width="28" customWidth="1" min="5" max="5"/>
    <col width="18" customWidth="1" min="6" max="6"/>
    <col width="18" customWidth="1" min="7" max="7"/>
    <col width="16" customWidth="1" min="8" max="8"/>
    <col width="16" customWidth="1" min="9" max="9"/>
    <col width="16" customWidth="1" min="10" max="10"/>
    <col width="16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2" customWidth="1" min="19" max="19"/>
    <col width="18" customWidth="1" min="20" max="20"/>
    <col width="12" customWidth="1" min="21" max="21"/>
    <col width="20" customWidth="1" min="22" max="22"/>
    <col width="24" customWidth="1" min="23" max="23"/>
    <col width="36" customWidth="1" min="24" max="24"/>
    <col width="12" customWidth="1" min="25" max="25"/>
    <col width="12" customWidth="1" min="26" max="26"/>
    <col width="18" customWidth="1" min="27" max="27"/>
    <col width="22" customWidth="1" min="28" max="28"/>
    <col width="14" customWidth="1" min="29" max="29"/>
    <col width="14" customWidth="1" min="30" max="30"/>
    <col width="12" customWidth="1" min="31" max="31"/>
    <col width="10" customWidth="1" min="32" max="32"/>
    <col width="28" customWidth="1" min="33" max="33"/>
    <col width="14" customWidth="1" min="34" max="34"/>
    <col width="12" customWidth="1" min="35" max="35"/>
  </cols>
  <sheetData>
    <row r="1">
      <c r="A1" s="32" t="inlineStr">
        <is>
          <t>CaseFileID</t>
        </is>
      </c>
      <c r="B1" s="32" t="inlineStr">
        <is>
          <t>LinkedOpsID</t>
        </is>
      </c>
      <c r="C1" s="32" t="inlineStr">
        <is>
          <t>CaseType</t>
        </is>
      </c>
      <c r="D1" s="32" t="inlineStr">
        <is>
          <t>PrimaryOffence</t>
        </is>
      </c>
      <c r="E1" s="32" t="inlineStr">
        <is>
          <t>ActSection</t>
        </is>
      </c>
      <c r="F1" s="32" t="inlineStr">
        <is>
          <t>InvestigatingOfficer</t>
        </is>
      </c>
      <c r="G1" s="32" t="inlineStr">
        <is>
          <t>Supervisor</t>
        </is>
      </c>
      <c r="H1" s="32" t="inlineStr">
        <is>
          <t>ArrestIDs</t>
        </is>
      </c>
      <c r="I1" s="32" t="inlineStr">
        <is>
          <t>FirearmSeizureIDs</t>
        </is>
      </c>
      <c r="J1" s="32" t="inlineStr">
        <is>
          <t>NarcoticSeizureIDs</t>
        </is>
      </c>
      <c r="K1" s="32" t="inlineStr">
        <is>
          <t>OtherSeizureIDs</t>
        </is>
      </c>
      <c r="L1" s="32" t="inlineStr">
        <is>
          <t>StatementsComplete</t>
        </is>
      </c>
      <c r="M1" s="32" t="inlineStr">
        <is>
          <t>ForensicCertObtained</t>
        </is>
      </c>
      <c r="N1" s="32" t="inlineStr">
        <is>
          <t>BallisticCertObtained</t>
        </is>
      </c>
      <c r="O1" s="32" t="inlineStr">
        <is>
          <t>PostMortemObtained</t>
        </is>
      </c>
      <c r="P1" s="32" t="inlineStr">
        <is>
          <t>DisclosureComplete</t>
        </is>
      </c>
      <c r="Q1" s="32" t="inlineStr">
        <is>
          <t>FileInTriplicate</t>
        </is>
      </c>
      <c r="R1" s="32" t="inlineStr">
        <is>
          <t>DPPSubmitDate</t>
        </is>
      </c>
      <c r="S1" s="32" t="inlineStr">
        <is>
          <t>DPPStatus</t>
        </is>
      </c>
      <c r="T1" s="32" t="inlineStr">
        <is>
          <t>CrownCounselAssigned</t>
        </is>
      </c>
      <c r="U1" s="32" t="inlineStr">
        <is>
          <t>DPPRulingDate</t>
        </is>
      </c>
      <c r="V1" s="32" t="inlineStr">
        <is>
          <t>DPPRuling</t>
        </is>
      </c>
      <c r="W1" s="32" t="inlineStr">
        <is>
          <t>ChargesApproved</t>
        </is>
      </c>
      <c r="X1" s="32" t="inlineStr">
        <is>
          <t>CourtType</t>
        </is>
      </c>
      <c r="Y1" s="32" t="inlineStr">
        <is>
          <t>FirstHearingDate</t>
        </is>
      </c>
      <c r="Z1" s="32" t="inlineStr">
        <is>
          <t>NextHearingDate</t>
        </is>
      </c>
      <c r="AA1" s="32" t="inlineStr">
        <is>
          <t>CourtOutcome</t>
        </is>
      </c>
      <c r="AB1" s="32" t="inlineStr">
        <is>
          <t>SentenceIfConvicted</t>
        </is>
      </c>
      <c r="AC1" s="32" t="inlineStr">
        <is>
          <t>POCAStatus</t>
        </is>
      </c>
      <c r="AD1" s="32" t="inlineStr">
        <is>
          <t>POCAAmount_JMD</t>
        </is>
      </c>
      <c r="AE1" s="32" t="inlineStr">
        <is>
          <t>DaysInPipeline</t>
        </is>
      </c>
      <c r="AF1" s="32" t="inlineStr">
        <is>
          <t>FileCompletenessScore</t>
        </is>
      </c>
      <c r="AG1" s="32" t="inlineStr">
        <is>
          <t>Notes</t>
        </is>
      </c>
      <c r="AH1" s="32" t="inlineStr">
        <is>
          <t>CreatedBy</t>
        </is>
      </c>
      <c r="AI1" s="32" t="inlineStr">
        <is>
          <t>CreatedDate</t>
        </is>
      </c>
    </row>
    <row r="2">
      <c r="A2" s="33">
        <f>IF(D2="","","CF-"&amp;TEXT(ROW()-1,"0000"))</f>
        <v/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  <c r="Q2" s="33" t="n"/>
      <c r="R2" s="33" t="n"/>
      <c r="S2" s="33" t="n"/>
      <c r="T2" s="33" t="n"/>
      <c r="U2" s="33" t="n"/>
      <c r="V2" s="33" t="n"/>
      <c r="W2" s="33" t="n"/>
      <c r="X2" s="33" t="n"/>
      <c r="Y2" s="33" t="n"/>
      <c r="Z2" s="33" t="n"/>
      <c r="AA2" s="33" t="n"/>
      <c r="AB2" s="33" t="n"/>
      <c r="AC2" s="33" t="n"/>
      <c r="AD2" s="33" t="n"/>
      <c r="AE2" s="33">
        <f>IF(R2="","",TODAY()-R2)</f>
        <v/>
      </c>
      <c r="AF2" s="35">
        <f>IF(D2="","",((L2="Yes")+(M2="Yes")+(N2="Yes")+(O2="Yes")+(P2="Yes")+(Q2="Yes"))/6)</f>
        <v/>
      </c>
      <c r="AG2" s="33" t="n"/>
      <c r="AH2" s="33" t="n"/>
      <c r="AI2" s="33" t="n"/>
    </row>
    <row r="3">
      <c r="A3" s="33">
        <f>IF(D3="","","CF-"&amp;TEXT(ROW()-1,"0000"))</f>
        <v/>
      </c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  <c r="Q3" s="33" t="n"/>
      <c r="R3" s="33" t="n"/>
      <c r="S3" s="33" t="n"/>
      <c r="T3" s="33" t="n"/>
      <c r="U3" s="33" t="n"/>
      <c r="V3" s="33" t="n"/>
      <c r="W3" s="33" t="n"/>
      <c r="X3" s="33" t="n"/>
      <c r="Y3" s="33" t="n"/>
      <c r="Z3" s="33" t="n"/>
      <c r="AA3" s="33" t="n"/>
      <c r="AB3" s="33" t="n"/>
      <c r="AC3" s="33" t="n"/>
      <c r="AD3" s="33" t="n"/>
      <c r="AE3" s="33">
        <f>IF(R3="","",TODAY()-R3)</f>
        <v/>
      </c>
      <c r="AF3" s="35">
        <f>IF(D3="","",((L3="Yes")+(M3="Yes")+(N3="Yes")+(O3="Yes")+(P3="Yes")+(Q3="Yes"))/6)</f>
        <v/>
      </c>
      <c r="AG3" s="33" t="n"/>
      <c r="AH3" s="33" t="n"/>
      <c r="AI3" s="33" t="n"/>
    </row>
    <row r="4">
      <c r="A4" s="33">
        <f>IF(D4="","","CF-"&amp;TEXT(ROW()-1,"0000"))</f>
        <v/>
      </c>
      <c r="B4" s="33" t="n"/>
      <c r="C4" s="33" t="n"/>
      <c r="D4" s="33" t="n"/>
      <c r="E4" s="33" t="n"/>
      <c r="F4" s="33" t="n"/>
      <c r="G4" s="33" t="n"/>
      <c r="H4" s="33" t="n"/>
      <c r="I4" s="33" t="n"/>
      <c r="J4" s="33" t="n"/>
      <c r="K4" s="33" t="n"/>
      <c r="L4" s="33" t="n"/>
      <c r="M4" s="33" t="n"/>
      <c r="N4" s="33" t="n"/>
      <c r="O4" s="33" t="n"/>
      <c r="P4" s="33" t="n"/>
      <c r="Q4" s="33" t="n"/>
      <c r="R4" s="33" t="n"/>
      <c r="S4" s="33" t="n"/>
      <c r="T4" s="33" t="n"/>
      <c r="U4" s="33" t="n"/>
      <c r="V4" s="33" t="n"/>
      <c r="W4" s="33" t="n"/>
      <c r="X4" s="33" t="n"/>
      <c r="Y4" s="33" t="n"/>
      <c r="Z4" s="33" t="n"/>
      <c r="AA4" s="33" t="n"/>
      <c r="AB4" s="33" t="n"/>
      <c r="AC4" s="33" t="n"/>
      <c r="AD4" s="33" t="n"/>
      <c r="AE4" s="33">
        <f>IF(R4="","",TODAY()-R4)</f>
        <v/>
      </c>
      <c r="AF4" s="35">
        <f>IF(D4="","",((L4="Yes")+(M4="Yes")+(N4="Yes")+(O4="Yes")+(P4="Yes")+(Q4="Yes"))/6)</f>
        <v/>
      </c>
      <c r="AG4" s="33" t="n"/>
      <c r="AH4" s="33" t="n"/>
      <c r="AI4" s="33" t="n"/>
    </row>
    <row r="5">
      <c r="A5" s="33">
        <f>IF(D5="","","CF-"&amp;TEXT(ROW()-1,"0000"))</f>
        <v/>
      </c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33" t="n"/>
      <c r="T5" s="33" t="n"/>
      <c r="U5" s="33" t="n"/>
      <c r="V5" s="33" t="n"/>
      <c r="W5" s="33" t="n"/>
      <c r="X5" s="33" t="n"/>
      <c r="Y5" s="33" t="n"/>
      <c r="Z5" s="33" t="n"/>
      <c r="AA5" s="33" t="n"/>
      <c r="AB5" s="33" t="n"/>
      <c r="AC5" s="33" t="n"/>
      <c r="AD5" s="33" t="n"/>
      <c r="AE5" s="33">
        <f>IF(R5="","",TODAY()-R5)</f>
        <v/>
      </c>
      <c r="AF5" s="35">
        <f>IF(D5="","",((L5="Yes")+(M5="Yes")+(N5="Yes")+(O5="Yes")+(P5="Yes")+(Q5="Yes"))/6)</f>
        <v/>
      </c>
      <c r="AG5" s="33" t="n"/>
      <c r="AH5" s="33" t="n"/>
      <c r="AI5" s="33" t="n"/>
    </row>
    <row r="6">
      <c r="A6" s="33">
        <f>IF(D6="","","CF-"&amp;TEXT(ROW()-1,"0000"))</f>
        <v/>
      </c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  <c r="S6" s="33" t="n"/>
      <c r="T6" s="33" t="n"/>
      <c r="U6" s="33" t="n"/>
      <c r="V6" s="33" t="n"/>
      <c r="W6" s="33" t="n"/>
      <c r="X6" s="33" t="n"/>
      <c r="Y6" s="33" t="n"/>
      <c r="Z6" s="33" t="n"/>
      <c r="AA6" s="33" t="n"/>
      <c r="AB6" s="33" t="n"/>
      <c r="AC6" s="33" t="n"/>
      <c r="AD6" s="33" t="n"/>
      <c r="AE6" s="33">
        <f>IF(R6="","",TODAY()-R6)</f>
        <v/>
      </c>
      <c r="AF6" s="35">
        <f>IF(D6="","",((L6="Yes")+(M6="Yes")+(N6="Yes")+(O6="Yes")+(P6="Yes")+(Q6="Yes"))/6)</f>
        <v/>
      </c>
      <c r="AG6" s="33" t="n"/>
      <c r="AH6" s="33" t="n"/>
      <c r="AI6" s="33" t="n"/>
    </row>
  </sheetData>
  <conditionalFormatting sqref="AF2:AF1000">
    <cfRule type="cellIs" priority="1" operator="lessThan" dxfId="0">
      <formula>0.5</formula>
    </cfRule>
    <cfRule type="cellIs" priority="2" operator="between" dxfId="1">
      <formula>0.5</formula>
      <formula>0.8</formula>
    </cfRule>
    <cfRule type="cellIs" priority="3" operator="greaterThanOrEqual" dxfId="3">
      <formula>0.8</formula>
    </cfRule>
  </conditionalFormatting>
  <dataValidations count="4">
    <dataValidation sqref="L2:Q1000" showDropDown="0" showInputMessage="0" showErrorMessage="0" allowBlank="1" errorTitle="Invalid" error="Select from dropdown" type="list">
      <formula1>=Lookups!$Q$2:$Q$3</formula1>
    </dataValidation>
    <dataValidation sqref="S2:S1000" showDropDown="0" showInputMessage="0" showErrorMessage="0" allowBlank="1" errorTitle="Invalid" error="Select from dropdown" type="list">
      <formula1>=Lookups!$N$2:$N$11</formula1>
    </dataValidation>
    <dataValidation sqref="X2:X1000" showDropDown="0" showInputMessage="0" showErrorMessage="0" allowBlank="1" errorTitle="Invalid" error="Select from dropdown" type="list">
      <formula1>=Lookups!$L$2:$L$7</formula1>
    </dataValidation>
    <dataValidation sqref="AC2:AC1000" showDropDown="0" showInputMessage="0" showErrorMessage="0" allowBlank="1" errorTitle="Invalid" error="Select from dropdown" type="list">
      <formula1>=Lookups!$W$2:$W$9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7030A0"/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6" customWidth="1" min="4" max="4"/>
    <col width="24" customWidth="1" min="5" max="5"/>
    <col width="14" customWidth="1" min="6" max="6"/>
    <col width="14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2" customWidth="1" min="19" max="19"/>
    <col width="28" customWidth="1" min="20" max="20"/>
    <col width="14" customWidth="1" min="21" max="21"/>
    <col width="12" customWidth="1" min="22" max="22"/>
  </cols>
  <sheetData>
    <row r="1">
      <c r="A1" s="32" t="inlineStr">
        <is>
          <t>WitnessID</t>
        </is>
      </c>
      <c r="B1" s="32" t="inlineStr">
        <is>
          <t>LinkedCaseFileID</t>
        </is>
      </c>
      <c r="C1" s="32" t="inlineStr">
        <is>
          <t>WitnessName</t>
        </is>
      </c>
      <c r="D1" s="32" t="inlineStr">
        <is>
          <t>ContactNumber</t>
        </is>
      </c>
      <c r="E1" s="32" t="inlineStr">
        <is>
          <t>Address</t>
        </is>
      </c>
      <c r="F1" s="32" t="inlineStr">
        <is>
          <t>Parish</t>
        </is>
      </c>
      <c r="G1" s="32" t="inlineStr">
        <is>
          <t>WitnessType</t>
        </is>
      </c>
      <c r="H1" s="32" t="inlineStr">
        <is>
          <t>StatementTaken</t>
        </is>
      </c>
      <c r="I1" s="32" t="inlineStr">
        <is>
          <t>StatementDate</t>
        </is>
      </c>
      <c r="J1" s="32" t="inlineStr">
        <is>
          <t>CautionGiven</t>
        </is>
      </c>
      <c r="K1" s="32" t="inlineStr">
        <is>
          <t>WillingToTestify</t>
        </is>
      </c>
      <c r="L1" s="32" t="inlineStr">
        <is>
          <t>ProtectionRequired</t>
        </is>
      </c>
      <c r="M1" s="32" t="inlineStr">
        <is>
          <t>WitnessProtectionReferred</t>
        </is>
      </c>
      <c r="N1" s="32" t="inlineStr">
        <is>
          <t>SummonsIssued</t>
        </is>
      </c>
      <c r="O1" s="32" t="inlineStr">
        <is>
          <t>SummonsServed</t>
        </is>
      </c>
      <c r="P1" s="32" t="inlineStr">
        <is>
          <t>SummonsServedDate</t>
        </is>
      </c>
      <c r="Q1" s="32" t="inlineStr">
        <is>
          <t>Vulnerable</t>
        </is>
      </c>
      <c r="R1" s="32" t="inlineStr">
        <is>
          <t>IntimidationReported</t>
        </is>
      </c>
      <c r="S1" s="32" t="inlineStr">
        <is>
          <t>CourtAppearanceDate</t>
        </is>
      </c>
      <c r="T1" s="32" t="inlineStr">
        <is>
          <t>Notes</t>
        </is>
      </c>
      <c r="U1" s="32" t="inlineStr">
        <is>
          <t>CreatedBy</t>
        </is>
      </c>
      <c r="V1" s="32" t="inlineStr">
        <is>
          <t>CreatedDate</t>
        </is>
      </c>
    </row>
    <row r="2">
      <c r="A2" s="33">
        <f>IF(C2="","","WIT-"&amp;TEXT(ROW()-1,"0000"))</f>
        <v/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  <c r="Q2" s="33" t="n"/>
      <c r="R2" s="33" t="n"/>
      <c r="S2" s="33" t="n"/>
      <c r="T2" s="33" t="n"/>
      <c r="U2" s="33" t="n"/>
      <c r="V2" s="33" t="n"/>
    </row>
    <row r="3">
      <c r="A3" s="33">
        <f>IF(C3="","","WIT-"&amp;TEXT(ROW()-1,"0000"))</f>
        <v/>
      </c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  <c r="Q3" s="33" t="n"/>
      <c r="R3" s="33" t="n"/>
      <c r="S3" s="33" t="n"/>
      <c r="T3" s="33" t="n"/>
      <c r="U3" s="33" t="n"/>
      <c r="V3" s="33" t="n"/>
    </row>
    <row r="4">
      <c r="A4" s="33">
        <f>IF(C4="","","WIT-"&amp;TEXT(ROW()-1,"0000"))</f>
        <v/>
      </c>
      <c r="B4" s="33" t="n"/>
      <c r="C4" s="33" t="n"/>
      <c r="D4" s="33" t="n"/>
      <c r="E4" s="33" t="n"/>
      <c r="F4" s="33" t="n"/>
      <c r="G4" s="33" t="n"/>
      <c r="H4" s="33" t="n"/>
      <c r="I4" s="33" t="n"/>
      <c r="J4" s="33" t="n"/>
      <c r="K4" s="33" t="n"/>
      <c r="L4" s="33" t="n"/>
      <c r="M4" s="33" t="n"/>
      <c r="N4" s="33" t="n"/>
      <c r="O4" s="33" t="n"/>
      <c r="P4" s="33" t="n"/>
      <c r="Q4" s="33" t="n"/>
      <c r="R4" s="33" t="n"/>
      <c r="S4" s="33" t="n"/>
      <c r="T4" s="33" t="n"/>
      <c r="U4" s="33" t="n"/>
      <c r="V4" s="33" t="n"/>
    </row>
    <row r="5">
      <c r="A5" s="33">
        <f>IF(C5="","","WIT-"&amp;TEXT(ROW()-1,"0000"))</f>
        <v/>
      </c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33" t="n"/>
      <c r="T5" s="33" t="n"/>
      <c r="U5" s="33" t="n"/>
      <c r="V5" s="33" t="n"/>
    </row>
    <row r="6">
      <c r="A6" s="33">
        <f>IF(C6="","","WIT-"&amp;TEXT(ROW()-1,"0000"))</f>
        <v/>
      </c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  <c r="S6" s="33" t="n"/>
      <c r="T6" s="33" t="n"/>
      <c r="U6" s="33" t="n"/>
      <c r="V6" s="33" t="n"/>
    </row>
  </sheetData>
  <conditionalFormatting sqref="R2:R1000">
    <cfRule type="cellIs" priority="1" operator="equal" dxfId="0">
      <formula>"Yes"</formula>
    </cfRule>
  </conditionalFormatting>
  <dataValidations count="10">
    <dataValidation sqref="H2:H1000" showDropDown="0" showInputMessage="0" showErrorMessage="0" allowBlank="1" errorTitle="Invalid" error="Select from dropdown" type="list">
      <formula1>=Lookups!$Q$2:$Q$3</formula1>
    </dataValidation>
    <dataValidation sqref="J2:J1000" showDropDown="0" showInputMessage="0" showErrorMessage="0" allowBlank="1" errorTitle="Invalid" error="Select from dropdown" type="list">
      <formula1>=Lookups!$Q$2:$Q$3</formula1>
    </dataValidation>
    <dataValidation sqref="K2:K1000" showDropDown="0" showInputMessage="0" showErrorMessage="0" allowBlank="1" errorTitle="Invalid" error="Select from dropdown" type="list">
      <formula1>=Lookups!$Q$2:$Q$3</formula1>
    </dataValidation>
    <dataValidation sqref="L2:L1000" showDropDown="0" showInputMessage="0" showErrorMessage="0" allowBlank="1" errorTitle="Invalid" error="Select from dropdown" type="list">
      <formula1>=Lookups!$Q$2:$Q$3</formula1>
    </dataValidation>
    <dataValidation sqref="M2:M1000" showDropDown="0" showInputMessage="0" showErrorMessage="0" allowBlank="1" errorTitle="Invalid" error="Select from dropdown" type="list">
      <formula1>=Lookups!$Q$2:$Q$3</formula1>
    </dataValidation>
    <dataValidation sqref="N2:N1000" showDropDown="0" showInputMessage="0" showErrorMessage="0" allowBlank="1" errorTitle="Invalid" error="Select from dropdown" type="list">
      <formula1>=Lookups!$Q$2:$Q$3</formula1>
    </dataValidation>
    <dataValidation sqref="O2:O1000" showDropDown="0" showInputMessage="0" showErrorMessage="0" allowBlank="1" errorTitle="Invalid" error="Select from dropdown" type="list">
      <formula1>=Lookups!$Q$2:$Q$3</formula1>
    </dataValidation>
    <dataValidation sqref="Q2:Q1000" showDropDown="0" showInputMessage="0" showErrorMessage="0" allowBlank="1" errorTitle="Invalid" error="Select from dropdown" type="list">
      <formula1>=Lookups!$Q$2:$Q$3</formula1>
    </dataValidation>
    <dataValidation sqref="R2:R1000" showDropDown="0" showInputMessage="0" showErrorMessage="0" allowBlank="1" errorTitle="Invalid" error="Select from dropdown" type="list">
      <formula1>=Lookups!$Q$2:$Q$3</formula1>
    </dataValidation>
    <dataValidation sqref="F2:F1000" showDropDown="0" showInputMessage="0" showErrorMessage="0" allowBlank="1" errorTitle="Invalid" error="Select from dropdown" type="list">
      <formula1>=Lookups!$P$2:$P$15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BF8F00"/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8" customWidth="1" min="4" max="4"/>
    <col width="14" customWidth="1" min="5" max="5"/>
    <col width="14" customWidth="1" min="6" max="6"/>
    <col width="20" customWidth="1" min="7" max="7"/>
    <col width="14" customWidth="1" min="8" max="8"/>
    <col width="10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28" customWidth="1" min="17" max="17"/>
    <col width="14" customWidth="1" min="18" max="18"/>
  </cols>
  <sheetData>
    <row r="1">
      <c r="A1" s="32" t="inlineStr">
        <is>
          <t>InformantCode</t>
        </is>
      </c>
      <c r="B1" s="32" t="inlineStr">
        <is>
          <t>Status</t>
        </is>
      </c>
      <c r="C1" s="32" t="inlineStr">
        <is>
          <t>RegisteredDate</t>
        </is>
      </c>
      <c r="D1" s="32" t="inlineStr">
        <is>
          <t>Handler</t>
        </is>
      </c>
      <c r="E1" s="32" t="inlineStr">
        <is>
          <t>HandlerRank</t>
        </is>
      </c>
      <c r="F1" s="32" t="inlineStr">
        <is>
          <t>Parish</t>
        </is>
      </c>
      <c r="G1" s="32" t="inlineStr">
        <is>
          <t>Territory</t>
        </is>
      </c>
      <c r="H1" s="32" t="inlineStr">
        <is>
          <t>ReliabilityRating</t>
        </is>
      </c>
      <c r="I1" s="32" t="inlineStr">
        <is>
          <t>TotalTips</t>
        </is>
      </c>
      <c r="J1" s="32" t="inlineStr">
        <is>
          <t>TipsToOperations</t>
        </is>
      </c>
      <c r="K1" s="32" t="inlineStr">
        <is>
          <t>TipsToSeizures</t>
        </is>
      </c>
      <c r="L1" s="32" t="inlineStr">
        <is>
          <t>TipsToArrests</t>
        </is>
      </c>
      <c r="M1" s="32" t="inlineStr">
        <is>
          <t>LastContactDate</t>
        </is>
      </c>
      <c r="N1" s="32" t="inlineStr">
        <is>
          <t>NextContactDue</t>
        </is>
      </c>
      <c r="O1" s="32" t="inlineStr">
        <is>
          <t>PolygraphDate</t>
        </is>
      </c>
      <c r="P1" s="32" t="inlineStr">
        <is>
          <t>PolygraphResult</t>
        </is>
      </c>
      <c r="Q1" s="32" t="inlineStr">
        <is>
          <t>Notes</t>
        </is>
      </c>
      <c r="R1" s="32" t="inlineStr">
        <is>
          <t>CreatedBy</t>
        </is>
      </c>
    </row>
    <row r="2">
      <c r="A2" s="33" t="n"/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  <c r="Q2" s="33" t="n"/>
      <c r="R2" s="33" t="n"/>
    </row>
    <row r="3">
      <c r="A3" s="33" t="n"/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  <c r="Q3" s="33" t="n"/>
      <c r="R3" s="33" t="n"/>
    </row>
    <row r="4">
      <c r="A4" s="33" t="n"/>
      <c r="B4" s="33" t="n"/>
      <c r="C4" s="33" t="n"/>
      <c r="D4" s="33" t="n"/>
      <c r="E4" s="33" t="n"/>
      <c r="F4" s="33" t="n"/>
      <c r="G4" s="33" t="n"/>
      <c r="H4" s="33" t="n"/>
      <c r="I4" s="33" t="n"/>
      <c r="J4" s="33" t="n"/>
      <c r="K4" s="33" t="n"/>
      <c r="L4" s="33" t="n"/>
      <c r="M4" s="33" t="n"/>
      <c r="N4" s="33" t="n"/>
      <c r="O4" s="33" t="n"/>
      <c r="P4" s="33" t="n"/>
      <c r="Q4" s="33" t="n"/>
      <c r="R4" s="33" t="n"/>
    </row>
    <row r="5">
      <c r="A5" s="33" t="n"/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</row>
    <row r="6">
      <c r="A6" s="33" t="n"/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849B"/>
  <conditionalFormatting sqref="N2:N1000">
    <cfRule type="expression" priority="1" dxfId="0">
      <formula>=AND(N2&lt;&gt;"",N2&lt;TODAY())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808080"/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2" customWidth="1" min="4" max="4"/>
    <col width="16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2" customWidth="1" min="13" max="13"/>
    <col width="18" customWidth="1" min="14" max="14"/>
    <col width="14" customWidth="1" min="15" max="15"/>
    <col width="24" customWidth="1" min="16" max="16"/>
  </cols>
  <sheetData>
    <row r="1">
      <c r="A1" s="32" t="inlineStr">
        <is>
          <t>PersonnelID</t>
        </is>
      </c>
      <c r="B1" s="32" t="inlineStr">
        <is>
          <t>RegNo</t>
        </is>
      </c>
      <c r="C1" s="32" t="inlineStr">
        <is>
          <t>Rank</t>
        </is>
      </c>
      <c r="D1" s="32" t="inlineStr">
        <is>
          <t>Name</t>
        </is>
      </c>
      <c r="E1" s="32" t="inlineStr">
        <is>
          <t>Unit</t>
        </is>
      </c>
      <c r="F1" s="32" t="inlineStr">
        <is>
          <t>Assignment</t>
        </is>
      </c>
      <c r="G1" s="32" t="inlineStr">
        <is>
          <t>Status</t>
        </is>
      </c>
      <c r="H1" s="32" t="inlineStr">
        <is>
          <t>PolygraphDate</t>
        </is>
      </c>
      <c r="I1" s="32" t="inlineStr">
        <is>
          <t>PolygraphResult</t>
        </is>
      </c>
      <c r="J1" s="32" t="inlineStr">
        <is>
          <t>FirearmsQualified</t>
        </is>
      </c>
      <c r="K1" s="32" t="inlineStr">
        <is>
          <t>TacticalTraining</t>
        </is>
      </c>
      <c r="L1" s="32" t="inlineStr">
        <is>
          <t>CourtTestimonyTrained</t>
        </is>
      </c>
      <c r="M1" s="32" t="inlineStr">
        <is>
          <t>JoinedFNID</t>
        </is>
      </c>
      <c r="N1" s="32" t="inlineStr">
        <is>
          <t>PriorPosting</t>
        </is>
      </c>
      <c r="O1" s="32" t="inlineStr">
        <is>
          <t>Phone</t>
        </is>
      </c>
      <c r="P1" s="32" t="inlineStr">
        <is>
          <t>Notes</t>
        </is>
      </c>
    </row>
    <row r="2">
      <c r="A2" s="33" t="n"/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</row>
    <row r="3">
      <c r="A3" s="33" t="n"/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</row>
    <row r="4">
      <c r="A4" s="33" t="n"/>
      <c r="B4" s="33" t="n"/>
      <c r="C4" s="33" t="n"/>
      <c r="D4" s="33" t="n"/>
      <c r="E4" s="33" t="n"/>
      <c r="F4" s="33" t="n"/>
      <c r="G4" s="33" t="n"/>
      <c r="H4" s="33" t="n"/>
      <c r="I4" s="33" t="n"/>
      <c r="J4" s="33" t="n"/>
      <c r="K4" s="33" t="n"/>
      <c r="L4" s="33" t="n"/>
      <c r="M4" s="33" t="n"/>
      <c r="N4" s="33" t="n"/>
      <c r="O4" s="33" t="n"/>
      <c r="P4" s="33" t="n"/>
    </row>
    <row r="5">
      <c r="A5" s="33" t="n"/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</row>
    <row r="6">
      <c r="A6" s="33" t="n"/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808080"/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8" customWidth="1" min="5" max="5"/>
    <col width="14" customWidth="1" min="6" max="6"/>
    <col width="14" customWidth="1" min="7" max="7"/>
    <col width="18" customWidth="1" min="8" max="8"/>
    <col width="10" customWidth="1" min="9" max="9"/>
    <col width="12" customWidth="1" min="10" max="10"/>
    <col width="12" customWidth="1" min="11" max="11"/>
    <col width="12" customWidth="1" min="12" max="12"/>
    <col width="12" customWidth="1" min="13" max="13"/>
    <col width="18" customWidth="1" min="14" max="14"/>
    <col width="24" customWidth="1" min="15" max="15"/>
  </cols>
  <sheetData>
    <row r="1">
      <c r="A1" s="32" t="inlineStr">
        <is>
          <t>VehicleID</t>
        </is>
      </c>
      <c r="B1" s="32" t="inlineStr">
        <is>
          <t>Registration</t>
        </is>
      </c>
      <c r="C1" s="32" t="inlineStr">
        <is>
          <t>Make</t>
        </is>
      </c>
      <c r="D1" s="32" t="inlineStr">
        <is>
          <t>Model</t>
        </is>
      </c>
      <c r="E1" s="32" t="inlineStr">
        <is>
          <t>Year</t>
        </is>
      </c>
      <c r="F1" s="32" t="inlineStr">
        <is>
          <t>Type</t>
        </is>
      </c>
      <c r="G1" s="32" t="inlineStr">
        <is>
          <t>Status</t>
        </is>
      </c>
      <c r="H1" s="32" t="inlineStr">
        <is>
          <t>AssignedTo</t>
        </is>
      </c>
      <c r="I1" s="32" t="inlineStr">
        <is>
          <t>FuelType</t>
        </is>
      </c>
      <c r="J1" s="32" t="inlineStr">
        <is>
          <t>LastServiceDate</t>
        </is>
      </c>
      <c r="K1" s="32" t="inlineStr">
        <is>
          <t>NextServiceDue</t>
        </is>
      </c>
      <c r="L1" s="32" t="inlineStr">
        <is>
          <t>InsuranceExpiry</t>
        </is>
      </c>
      <c r="M1" s="32" t="inlineStr">
        <is>
          <t>FitnessExpiry</t>
        </is>
      </c>
      <c r="N1" s="32" t="inlineStr">
        <is>
          <t>Source</t>
        </is>
      </c>
      <c r="O1" s="32" t="inlineStr">
        <is>
          <t>Notes</t>
        </is>
      </c>
    </row>
    <row r="2">
      <c r="A2" s="33" t="n"/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</row>
    <row r="3">
      <c r="A3" s="33" t="n"/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</row>
    <row r="4">
      <c r="A4" s="33" t="n"/>
      <c r="B4" s="33" t="n"/>
      <c r="C4" s="33" t="n"/>
      <c r="D4" s="33" t="n"/>
      <c r="E4" s="33" t="n"/>
      <c r="F4" s="33" t="n"/>
      <c r="G4" s="33" t="n"/>
      <c r="H4" s="33" t="n"/>
      <c r="I4" s="33" t="n"/>
      <c r="J4" s="33" t="n"/>
      <c r="K4" s="33" t="n"/>
      <c r="L4" s="33" t="n"/>
      <c r="M4" s="33" t="n"/>
      <c r="N4" s="33" t="n"/>
      <c r="O4" s="33" t="n"/>
    </row>
    <row r="5">
      <c r="A5" s="33" t="n"/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</row>
    <row r="6">
      <c r="A6" s="33" t="n"/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</row>
  </sheetData>
  <conditionalFormatting sqref="K2:K1000">
    <cfRule type="expression" priority="1" dxfId="0">
      <formula>=AND(K2&lt;&gt;"",K2&lt;TODAY())</formula>
    </cfRule>
  </conditionalFormatting>
  <conditionalFormatting sqref="L2:L1000">
    <cfRule type="expression" priority="2" dxfId="0">
      <formula>=AND(L2&lt;&gt;"",L2&lt;TODAY())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2026-02-27T03:31:50Z</dcterms:created>
  <dcterms:modified xsi:type="dcterms:W3CDTF">2026-02-27T03:31:50Z</dcterms:modified>
</cp:coreProperties>
</file>